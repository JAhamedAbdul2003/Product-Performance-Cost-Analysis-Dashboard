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835" firstSheet="1" activeTab="5"/>
  </bookViews>
  <sheets>
    <sheet name="Production Dataset" sheetId="1" r:id="rId1"/>
    <sheet name="Sheet1" sheetId="8" r:id="rId2"/>
    <sheet name="Sheet2" sheetId="9" r:id="rId3"/>
    <sheet name="Sheet3" sheetId="4" r:id="rId4"/>
    <sheet name="Sheet4" sheetId="10" r:id="rId5"/>
    <sheet name="Sheet6" sheetId="7" r:id="rId6"/>
  </sheets>
  <definedNames>
    <definedName name="Slicer_Gender">#N/A</definedName>
    <definedName name="Slicer_Manager">#N/A</definedName>
    <definedName name="Slicer_Region">#N/A</definedName>
    <definedName name="_xlnm._FilterDatabase" localSheetId="0" hidden="1">'Production Dataset'!$A$1:$I$121</definedName>
  </definedNames>
  <calcPr calcId="191029"/>
  <pivotCaches>
    <pivotCache cacheId="0" r:id="rId7"/>
    <pivotCache cacheId="1" r:id="rId8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<sst xmlns="http://schemas.openxmlformats.org/spreadsheetml/2006/main" count="520" uniqueCount="39">
  <si>
    <t>ProductionID</t>
  </si>
  <si>
    <t>ProductionDate</t>
  </si>
  <si>
    <t>Region</t>
  </si>
  <si>
    <t>Manager</t>
  </si>
  <si>
    <t>ProductType</t>
  </si>
  <si>
    <t>UnitsProduced</t>
  </si>
  <si>
    <t>TotalCost</t>
  </si>
  <si>
    <t>Gender</t>
  </si>
  <si>
    <t>True Age</t>
  </si>
  <si>
    <t>Age Group</t>
  </si>
  <si>
    <t>Production cost per unit</t>
  </si>
  <si>
    <t>Cost Per Unit</t>
  </si>
  <si>
    <t>Year</t>
  </si>
  <si>
    <t>Month_Year</t>
  </si>
  <si>
    <t>South</t>
  </si>
  <si>
    <t>John Doe</t>
  </si>
  <si>
    <t>Automobiles</t>
  </si>
  <si>
    <t>Female</t>
  </si>
  <si>
    <t>West</t>
  </si>
  <si>
    <t>Laura Black</t>
  </si>
  <si>
    <t>Furniture</t>
  </si>
  <si>
    <t>North</t>
  </si>
  <si>
    <t>Sarah Lee</t>
  </si>
  <si>
    <t>Machinery</t>
  </si>
  <si>
    <t>Male</t>
  </si>
  <si>
    <t>Mike Brown</t>
  </si>
  <si>
    <t>Unknown</t>
  </si>
  <si>
    <t>Jane Smith</t>
  </si>
  <si>
    <t>Andrew Blue</t>
  </si>
  <si>
    <t>David White</t>
  </si>
  <si>
    <t>Electronics</t>
  </si>
  <si>
    <t>Nancy Grey</t>
  </si>
  <si>
    <t>Emily Davis</t>
  </si>
  <si>
    <t>Chris Green</t>
  </si>
  <si>
    <t>East</t>
  </si>
  <si>
    <t>Average of Cost Per Unit</t>
  </si>
  <si>
    <t>Grand Total</t>
  </si>
  <si>
    <t>Number Of Task</t>
  </si>
  <si>
    <t>Sum of UnitsProduced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</si>
</sst>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&quot;$&quot;#,##0.00_);[Red]\(&quot;$&quot;#,##0.00\)"/>
    <numFmt numFmtId="182" formatCode="&quot;₹&quot;#,##0.00_);[Red]\(&quot;₹&quot;#,##0.00\)"/>
    <numFmt numFmtId="183" formatCode="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6">
    <dxf>
      <numFmt numFmtId="182" formatCode="&quot;₹&quot;#,##0.00_);[Red]\(&quot;₹&quot;#,##0.00\)"/>
    </dxf>
    <dxf>
      <numFmt numFmtId="177" formatCode="_ &quot;₹&quot;* #,##0.00_ ;_ &quot;₹&quot;* \-#,##0.00_ ;_ &quot;₹&quot;* &quot;-&quot;??_ ;_ @_ "/>
    </dxf>
    <dxf>
      <numFmt numFmtId="0" formatCode="General"/>
    </dxf>
    <dxf>
      <numFmt numFmtId="184" formatCode="0.00_);[Red]\(0.00\)"/>
    </dxf>
    <dxf>
      <numFmt numFmtId="0" formatCode="General"/>
    </dxf>
    <dxf>
      <numFmt numFmtId="182" formatCode="&quot;₹&quot;#,##0.00_);[Red]\(&quot;₹&quot;#,##0.00\)"/>
    </dxf>
    <dxf>
      <numFmt numFmtId="0" formatCode="General"/>
    </dxf>
    <dxf>
      <numFmt numFmtId="181" formatCode="&quot;$&quot;#,##0.00_);[Red]\(&quot;$&quot;#,##0.00\)"/>
    </dxf>
    <dxf>
      <numFmt numFmtId="182" formatCode="&quot;₹&quot;#,##0.00_);[Red]\(&quot;₹&quot;#,##0.00\)"/>
    </dxf>
    <dxf>
      <numFmt numFmtId="181" formatCode="&quot;$&quot;#,##0.00_);[Red]\(&quot;$&quot;#,##0.00\)"/>
    </dxf>
    <dxf>
      <numFmt numFmtId="180" formatCode="dd/mm/yyyy"/>
    </dxf>
    <dxf>
      <numFmt numFmtId="182" formatCode="&quot;₹&quot;#,##0.00_);[Red]\(&quot;₹&quot;#,##0.00\)"/>
    </dxf>
    <dxf>
      <numFmt numFmtId="183" formatCode="0_ 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4B2D3E4E-633C-421F-B972-5B048D2D3035}"/>
  </tableStyles>
  <colors>
    <mruColors>
      <color rgb="00CCCCFF"/>
      <color rgb="000EB0B2"/>
      <color rgb="000945A5"/>
      <color rgb="00286F9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3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Performance &amp; Cost Analysis Dashboard.xlsx]Sheet1!PivotTable1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>
                <a:solidFill>
                  <a:sysClr val="windowText" lastClr="000000"/>
                </a:solidFill>
              </a:rPr>
              <a:t>Cost Per Unit By Manager</a:t>
            </a:r>
            <a:endParaRPr lang="en-IN" altLang="en-US" b="1">
              <a:solidFill>
                <a:sysClr val="windowText" lastClr="000000"/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David White</c:v>
                </c:pt>
                <c:pt idx="1">
                  <c:v>Emily Davis</c:v>
                </c:pt>
                <c:pt idx="2">
                  <c:v>Nancy Grey</c:v>
                </c:pt>
                <c:pt idx="3">
                  <c:v>Andrew Blue</c:v>
                </c:pt>
                <c:pt idx="4">
                  <c:v>Chris Green</c:v>
                </c:pt>
              </c:strCache>
            </c:strRef>
          </c:cat>
          <c:val>
            <c:numRef>
              <c:f>Sheet1!$B$4:$B$9</c:f>
              <c:numCache>
                <c:formatCode>"$"#,##0.00_);[Red]\("$"#,##0.00\)</c:formatCode>
                <c:ptCount val="5"/>
                <c:pt idx="0">
                  <c:v>118.994644258139</c:v>
                </c:pt>
                <c:pt idx="1">
                  <c:v>142.455879546322</c:v>
                </c:pt>
                <c:pt idx="2">
                  <c:v>156.393004702647</c:v>
                </c:pt>
                <c:pt idx="3">
                  <c:v>181.233721539495</c:v>
                </c:pt>
                <c:pt idx="4">
                  <c:v>215.164193999378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590764156"/>
        <c:axId val="675418177"/>
      </c:barChart>
      <c:catAx>
        <c:axId val="590764156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5418177"/>
        <c:crosses val="autoZero"/>
        <c:auto val="1"/>
        <c:lblAlgn val="ctr"/>
        <c:lblOffset val="100"/>
        <c:noMultiLvlLbl val="0"/>
      </c:catAx>
      <c:valAx>
        <c:axId val="675418177"/>
        <c:scaling>
          <c:orientation val="minMax"/>
        </c:scaling>
        <c:delete val="1"/>
        <c:axPos val="b"/>
        <c:numFmt formatCode="&quot;$&quot;#,##0.00_);[Red]\(&quot;$&quot;#,##0.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7641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4f028ab-de80-4f67-b786-a7f5d50caa17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Performance &amp; Cost Analysis Dashboard.xlsx]Sheet2!PivotTable2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Electronics</c:v>
                </c:pt>
                <c:pt idx="1">
                  <c:v>Machinery</c:v>
                </c:pt>
                <c:pt idx="2">
                  <c:v>Automobiles</c:v>
                </c:pt>
                <c:pt idx="3">
                  <c:v>Furniture</c:v>
                </c:pt>
              </c:strCache>
            </c:strRef>
          </c:cat>
          <c:val>
            <c:numRef>
              <c:f>Sheet2!$B$4:$B$8</c:f>
              <c:numCache>
                <c:formatCode>"$"#,##0.00_);[Red]\("$"#,##0.00\)</c:formatCode>
                <c:ptCount val="4"/>
                <c:pt idx="0">
                  <c:v>108.368246516667</c:v>
                </c:pt>
                <c:pt idx="1">
                  <c:v>108.976598946377</c:v>
                </c:pt>
                <c:pt idx="2">
                  <c:v>140.873876954133</c:v>
                </c:pt>
                <c:pt idx="3">
                  <c:v>180.441033487786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10107204"/>
        <c:axId val="902254171"/>
      </c:barChart>
      <c:catAx>
        <c:axId val="10107204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2254171"/>
        <c:crosses val="autoZero"/>
        <c:auto val="1"/>
        <c:lblAlgn val="ctr"/>
        <c:lblOffset val="100"/>
        <c:noMultiLvlLbl val="0"/>
      </c:catAx>
      <c:valAx>
        <c:axId val="902254171"/>
        <c:scaling>
          <c:orientation val="minMax"/>
        </c:scaling>
        <c:delete val="1"/>
        <c:axPos val="b"/>
        <c:numFmt formatCode="&quot;$&quot;#,##0.00_);[Red]\(&quot;$&quot;#,##0.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1072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f3056a0-c027-4573-b81d-153347a10f2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Performance &amp; Cost Analysis Dashboard.xlsx]Sheet3!PivotTable2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Number of Task By Manager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Andrew Blue</c:v>
                </c:pt>
                <c:pt idx="1">
                  <c:v>Mike Brown</c:v>
                </c:pt>
                <c:pt idx="2">
                  <c:v>John Doe</c:v>
                </c:pt>
                <c:pt idx="3">
                  <c:v>Jane Smith</c:v>
                </c:pt>
                <c:pt idx="4">
                  <c:v>Nancy Grey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18</c:v>
                </c:pt>
                <c:pt idx="4">
                  <c:v>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21765311"/>
        <c:axId val="817223241"/>
      </c:barChart>
      <c:catAx>
        <c:axId val="22176531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7223241"/>
        <c:crosses val="autoZero"/>
        <c:auto val="1"/>
        <c:lblAlgn val="ctr"/>
        <c:lblOffset val="100"/>
        <c:noMultiLvlLbl val="0"/>
      </c:catAx>
      <c:valAx>
        <c:axId val="81722324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76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4d288f8-37f7-4dbe-854e-dd14c66193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Performance &amp; Cost Analysis Dashboard.xlsx]Sheet4!PivotTable3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sng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u="sng">
                <a:solidFill>
                  <a:schemeClr val="accent5">
                    <a:lumMod val="50000"/>
                  </a:schemeClr>
                </a:solidFill>
              </a:rPr>
              <a:t>Total Unit Produced By Month-Year</a:t>
            </a:r>
            <a:endParaRPr lang="en-IN" altLang="en-US" u="sng">
              <a:solidFill>
                <a:schemeClr val="accent5">
                  <a:lumMod val="50000"/>
                </a:schemeClr>
              </a:solidFill>
            </a:endParaRPr>
          </a:p>
        </c:rich>
      </c:tx>
      <c:layout>
        <c:manualLayout>
          <c:xMode val="edge"/>
          <c:yMode val="edge"/>
          <c:x val="0.0126973684210526"/>
          <c:y val="0.024305555555555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Sheet4!$A$4:$A$103</c:f>
              <c:strCache>
                <c:ptCount val="99"/>
                <c:pt idx="0">
                  <c:v>22-09-2023</c:v>
                </c:pt>
                <c:pt idx="1">
                  <c:v>24-09-2023</c:v>
                </c:pt>
                <c:pt idx="2">
                  <c:v>28-09-2023</c:v>
                </c:pt>
                <c:pt idx="3">
                  <c:v>01-10-2023</c:v>
                </c:pt>
                <c:pt idx="4">
                  <c:v>08-10-2023</c:v>
                </c:pt>
                <c:pt idx="5">
                  <c:v>15-10-2023</c:v>
                </c:pt>
                <c:pt idx="6">
                  <c:v>16-10-2023</c:v>
                </c:pt>
                <c:pt idx="7">
                  <c:v>17-10-2023</c:v>
                </c:pt>
                <c:pt idx="8">
                  <c:v>18-10-2023</c:v>
                </c:pt>
                <c:pt idx="9">
                  <c:v>22-10-2023</c:v>
                </c:pt>
                <c:pt idx="10">
                  <c:v>29-10-2023</c:v>
                </c:pt>
                <c:pt idx="11">
                  <c:v>31-10-2023</c:v>
                </c:pt>
                <c:pt idx="12">
                  <c:v>02-11-2023</c:v>
                </c:pt>
                <c:pt idx="13">
                  <c:v>03-11-2023</c:v>
                </c:pt>
                <c:pt idx="14">
                  <c:v>04-11-2023</c:v>
                </c:pt>
                <c:pt idx="15">
                  <c:v>05-11-2023</c:v>
                </c:pt>
                <c:pt idx="16">
                  <c:v>10-11-2023</c:v>
                </c:pt>
                <c:pt idx="17">
                  <c:v>13-11-2023</c:v>
                </c:pt>
                <c:pt idx="18">
                  <c:v>19-11-2023</c:v>
                </c:pt>
                <c:pt idx="19">
                  <c:v>21-11-2023</c:v>
                </c:pt>
                <c:pt idx="20">
                  <c:v>22-11-2023</c:v>
                </c:pt>
                <c:pt idx="21">
                  <c:v>24-11-2023</c:v>
                </c:pt>
                <c:pt idx="22">
                  <c:v>26-11-2023</c:v>
                </c:pt>
                <c:pt idx="23">
                  <c:v>04-12-2023</c:v>
                </c:pt>
                <c:pt idx="24">
                  <c:v>13-12-2023</c:v>
                </c:pt>
                <c:pt idx="25">
                  <c:v>14-12-2023</c:v>
                </c:pt>
                <c:pt idx="26">
                  <c:v>17-12-2023</c:v>
                </c:pt>
                <c:pt idx="27">
                  <c:v>22-12-2023</c:v>
                </c:pt>
                <c:pt idx="28">
                  <c:v>26-12-2023</c:v>
                </c:pt>
                <c:pt idx="29">
                  <c:v>29-12-2023</c:v>
                </c:pt>
                <c:pt idx="30">
                  <c:v>01-01-2024</c:v>
                </c:pt>
                <c:pt idx="31">
                  <c:v>02-01-2024</c:v>
                </c:pt>
                <c:pt idx="32">
                  <c:v>03-01-2024</c:v>
                </c:pt>
                <c:pt idx="33">
                  <c:v>05-01-2024</c:v>
                </c:pt>
                <c:pt idx="34">
                  <c:v>08-01-2024</c:v>
                </c:pt>
                <c:pt idx="35">
                  <c:v>13-01-2024</c:v>
                </c:pt>
                <c:pt idx="36">
                  <c:v>14-01-2024</c:v>
                </c:pt>
                <c:pt idx="37">
                  <c:v>16-01-2024</c:v>
                </c:pt>
                <c:pt idx="38">
                  <c:v>18-01-2024</c:v>
                </c:pt>
                <c:pt idx="39">
                  <c:v>27-01-2024</c:v>
                </c:pt>
                <c:pt idx="40">
                  <c:v>07-02-2024</c:v>
                </c:pt>
                <c:pt idx="41">
                  <c:v>08-02-2024</c:v>
                </c:pt>
                <c:pt idx="42">
                  <c:v>13-02-2024</c:v>
                </c:pt>
                <c:pt idx="43">
                  <c:v>17-02-2024</c:v>
                </c:pt>
                <c:pt idx="44">
                  <c:v>25-02-2024</c:v>
                </c:pt>
                <c:pt idx="45">
                  <c:v>26-02-2024</c:v>
                </c:pt>
                <c:pt idx="46">
                  <c:v>28-02-2024</c:v>
                </c:pt>
                <c:pt idx="47">
                  <c:v>05-03-2024</c:v>
                </c:pt>
                <c:pt idx="48">
                  <c:v>06-03-2024</c:v>
                </c:pt>
                <c:pt idx="49">
                  <c:v>10-03-2024</c:v>
                </c:pt>
                <c:pt idx="50">
                  <c:v>13-03-2024</c:v>
                </c:pt>
                <c:pt idx="51">
                  <c:v>18-03-2024</c:v>
                </c:pt>
                <c:pt idx="52">
                  <c:v>19-03-2024</c:v>
                </c:pt>
                <c:pt idx="53">
                  <c:v>20-03-2024</c:v>
                </c:pt>
                <c:pt idx="54">
                  <c:v>21-03-2024</c:v>
                </c:pt>
                <c:pt idx="55">
                  <c:v>23-03-2024</c:v>
                </c:pt>
                <c:pt idx="56">
                  <c:v>26-03-2024</c:v>
                </c:pt>
                <c:pt idx="57">
                  <c:v>27-03-2024</c:v>
                </c:pt>
                <c:pt idx="58">
                  <c:v>29-03-2024</c:v>
                </c:pt>
                <c:pt idx="59">
                  <c:v>30-03-2024</c:v>
                </c:pt>
                <c:pt idx="60">
                  <c:v>01-04-2024</c:v>
                </c:pt>
                <c:pt idx="61">
                  <c:v>08-04-2024</c:v>
                </c:pt>
                <c:pt idx="62">
                  <c:v>10-04-2024</c:v>
                </c:pt>
                <c:pt idx="63">
                  <c:v>16-04-2024</c:v>
                </c:pt>
                <c:pt idx="64">
                  <c:v>25-04-2024</c:v>
                </c:pt>
                <c:pt idx="65">
                  <c:v>28-04-2024</c:v>
                </c:pt>
                <c:pt idx="66">
                  <c:v>30-04-2024</c:v>
                </c:pt>
                <c:pt idx="67">
                  <c:v>08-05-2024</c:v>
                </c:pt>
                <c:pt idx="68">
                  <c:v>10-05-2024</c:v>
                </c:pt>
                <c:pt idx="69">
                  <c:v>12-05-2024</c:v>
                </c:pt>
                <c:pt idx="70">
                  <c:v>15-05-2024</c:v>
                </c:pt>
                <c:pt idx="71">
                  <c:v>20-05-2024</c:v>
                </c:pt>
                <c:pt idx="72">
                  <c:v>01-06-2024</c:v>
                </c:pt>
                <c:pt idx="73">
                  <c:v>06-06-2024</c:v>
                </c:pt>
                <c:pt idx="74">
                  <c:v>08-06-2024</c:v>
                </c:pt>
                <c:pt idx="75">
                  <c:v>10-06-2024</c:v>
                </c:pt>
                <c:pt idx="76">
                  <c:v>14-06-2024</c:v>
                </c:pt>
                <c:pt idx="77">
                  <c:v>15-06-2024</c:v>
                </c:pt>
                <c:pt idx="78">
                  <c:v>21-06-2024</c:v>
                </c:pt>
                <c:pt idx="79">
                  <c:v>22-06-2024</c:v>
                </c:pt>
                <c:pt idx="80">
                  <c:v>24-06-2024</c:v>
                </c:pt>
                <c:pt idx="81">
                  <c:v>26-06-2024</c:v>
                </c:pt>
                <c:pt idx="82">
                  <c:v>29-06-2024</c:v>
                </c:pt>
                <c:pt idx="83">
                  <c:v>05-07-2024</c:v>
                </c:pt>
                <c:pt idx="84">
                  <c:v>16-07-2024</c:v>
                </c:pt>
                <c:pt idx="85">
                  <c:v>24-07-2024</c:v>
                </c:pt>
                <c:pt idx="86">
                  <c:v>31-07-2024</c:v>
                </c:pt>
                <c:pt idx="87">
                  <c:v>02-08-2024</c:v>
                </c:pt>
                <c:pt idx="88">
                  <c:v>04-08-2024</c:v>
                </c:pt>
                <c:pt idx="89">
                  <c:v>06-08-2024</c:v>
                </c:pt>
                <c:pt idx="90">
                  <c:v>07-08-2024</c:v>
                </c:pt>
                <c:pt idx="91">
                  <c:v>16-08-2024</c:v>
                </c:pt>
                <c:pt idx="92">
                  <c:v>17-08-2024</c:v>
                </c:pt>
                <c:pt idx="93">
                  <c:v>23-08-2024</c:v>
                </c:pt>
                <c:pt idx="94">
                  <c:v>26-08-2024</c:v>
                </c:pt>
                <c:pt idx="95">
                  <c:v>28-08-2024</c:v>
                </c:pt>
                <c:pt idx="96">
                  <c:v>08-09-2024</c:v>
                </c:pt>
                <c:pt idx="97">
                  <c:v>09-09-2024</c:v>
                </c:pt>
                <c:pt idx="98">
                  <c:v>14-09-2024</c:v>
                </c:pt>
              </c:strCache>
            </c:strRef>
          </c:cat>
          <c:val>
            <c:numRef>
              <c:f>Sheet4!$B$4:$B$103</c:f>
              <c:numCache>
                <c:formatCode>General</c:formatCode>
                <c:ptCount val="99"/>
                <c:pt idx="0">
                  <c:v>214</c:v>
                </c:pt>
                <c:pt idx="1">
                  <c:v>344</c:v>
                </c:pt>
                <c:pt idx="2">
                  <c:v>213</c:v>
                </c:pt>
                <c:pt idx="3">
                  <c:v>290</c:v>
                </c:pt>
                <c:pt idx="4">
                  <c:v>231</c:v>
                </c:pt>
                <c:pt idx="5">
                  <c:v>719</c:v>
                </c:pt>
                <c:pt idx="6">
                  <c:v>624</c:v>
                </c:pt>
                <c:pt idx="7">
                  <c:v>63</c:v>
                </c:pt>
                <c:pt idx="8">
                  <c:v>263</c:v>
                </c:pt>
                <c:pt idx="9">
                  <c:v>165</c:v>
                </c:pt>
                <c:pt idx="10">
                  <c:v>288</c:v>
                </c:pt>
                <c:pt idx="11">
                  <c:v>460</c:v>
                </c:pt>
                <c:pt idx="12">
                  <c:v>876</c:v>
                </c:pt>
                <c:pt idx="13">
                  <c:v>126</c:v>
                </c:pt>
                <c:pt idx="14">
                  <c:v>177</c:v>
                </c:pt>
                <c:pt idx="15">
                  <c:v>439</c:v>
                </c:pt>
                <c:pt idx="16">
                  <c:v>666</c:v>
                </c:pt>
                <c:pt idx="17">
                  <c:v>359</c:v>
                </c:pt>
                <c:pt idx="18">
                  <c:v>511</c:v>
                </c:pt>
                <c:pt idx="19">
                  <c:v>333</c:v>
                </c:pt>
                <c:pt idx="20">
                  <c:v>354</c:v>
                </c:pt>
                <c:pt idx="21">
                  <c:v>876</c:v>
                </c:pt>
                <c:pt idx="22">
                  <c:v>86</c:v>
                </c:pt>
                <c:pt idx="23">
                  <c:v>214</c:v>
                </c:pt>
                <c:pt idx="24">
                  <c:v>289</c:v>
                </c:pt>
                <c:pt idx="25">
                  <c:v>97</c:v>
                </c:pt>
                <c:pt idx="26">
                  <c:v>366</c:v>
                </c:pt>
                <c:pt idx="27">
                  <c:v>222</c:v>
                </c:pt>
                <c:pt idx="28">
                  <c:v>902</c:v>
                </c:pt>
                <c:pt idx="29">
                  <c:v>404</c:v>
                </c:pt>
                <c:pt idx="30">
                  <c:v>160</c:v>
                </c:pt>
                <c:pt idx="31">
                  <c:v>368</c:v>
                </c:pt>
                <c:pt idx="32">
                  <c:v>180</c:v>
                </c:pt>
                <c:pt idx="33">
                  <c:v>713</c:v>
                </c:pt>
                <c:pt idx="34">
                  <c:v>447</c:v>
                </c:pt>
                <c:pt idx="35">
                  <c:v>250</c:v>
                </c:pt>
                <c:pt idx="36">
                  <c:v>463</c:v>
                </c:pt>
                <c:pt idx="37">
                  <c:v>60</c:v>
                </c:pt>
                <c:pt idx="38">
                  <c:v>192</c:v>
                </c:pt>
                <c:pt idx="39">
                  <c:v>193</c:v>
                </c:pt>
                <c:pt idx="40">
                  <c:v>214</c:v>
                </c:pt>
                <c:pt idx="41">
                  <c:v>209</c:v>
                </c:pt>
                <c:pt idx="42">
                  <c:v>526</c:v>
                </c:pt>
                <c:pt idx="43">
                  <c:v>499</c:v>
                </c:pt>
                <c:pt idx="44">
                  <c:v>128</c:v>
                </c:pt>
                <c:pt idx="45">
                  <c:v>97</c:v>
                </c:pt>
                <c:pt idx="46">
                  <c:v>2454</c:v>
                </c:pt>
                <c:pt idx="47">
                  <c:v>218</c:v>
                </c:pt>
                <c:pt idx="48">
                  <c:v>128</c:v>
                </c:pt>
                <c:pt idx="49">
                  <c:v>497</c:v>
                </c:pt>
                <c:pt idx="50">
                  <c:v>358</c:v>
                </c:pt>
                <c:pt idx="51">
                  <c:v>84</c:v>
                </c:pt>
                <c:pt idx="52">
                  <c:v>81</c:v>
                </c:pt>
                <c:pt idx="53">
                  <c:v>389</c:v>
                </c:pt>
                <c:pt idx="54">
                  <c:v>178</c:v>
                </c:pt>
                <c:pt idx="55">
                  <c:v>527</c:v>
                </c:pt>
                <c:pt idx="56">
                  <c:v>145</c:v>
                </c:pt>
                <c:pt idx="57">
                  <c:v>495</c:v>
                </c:pt>
                <c:pt idx="58">
                  <c:v>412</c:v>
                </c:pt>
                <c:pt idx="59">
                  <c:v>363</c:v>
                </c:pt>
                <c:pt idx="60">
                  <c:v>155</c:v>
                </c:pt>
                <c:pt idx="61">
                  <c:v>190</c:v>
                </c:pt>
                <c:pt idx="62">
                  <c:v>51</c:v>
                </c:pt>
                <c:pt idx="63">
                  <c:v>383</c:v>
                </c:pt>
                <c:pt idx="64">
                  <c:v>51</c:v>
                </c:pt>
                <c:pt idx="65">
                  <c:v>462</c:v>
                </c:pt>
                <c:pt idx="66">
                  <c:v>236</c:v>
                </c:pt>
                <c:pt idx="67">
                  <c:v>430</c:v>
                </c:pt>
                <c:pt idx="68">
                  <c:v>511</c:v>
                </c:pt>
                <c:pt idx="69">
                  <c:v>382</c:v>
                </c:pt>
                <c:pt idx="70">
                  <c:v>173</c:v>
                </c:pt>
                <c:pt idx="71">
                  <c:v>188</c:v>
                </c:pt>
                <c:pt idx="72">
                  <c:v>386</c:v>
                </c:pt>
                <c:pt idx="73">
                  <c:v>178</c:v>
                </c:pt>
                <c:pt idx="74">
                  <c:v>368</c:v>
                </c:pt>
                <c:pt idx="75">
                  <c:v>322</c:v>
                </c:pt>
                <c:pt idx="76">
                  <c:v>130</c:v>
                </c:pt>
                <c:pt idx="77">
                  <c:v>79</c:v>
                </c:pt>
                <c:pt idx="78">
                  <c:v>216</c:v>
                </c:pt>
                <c:pt idx="79">
                  <c:v>332</c:v>
                </c:pt>
                <c:pt idx="80">
                  <c:v>115</c:v>
                </c:pt>
                <c:pt idx="81">
                  <c:v>908</c:v>
                </c:pt>
                <c:pt idx="82">
                  <c:v>503</c:v>
                </c:pt>
                <c:pt idx="83">
                  <c:v>115</c:v>
                </c:pt>
                <c:pt idx="84">
                  <c:v>248</c:v>
                </c:pt>
                <c:pt idx="85">
                  <c:v>695</c:v>
                </c:pt>
                <c:pt idx="86">
                  <c:v>478</c:v>
                </c:pt>
                <c:pt idx="87">
                  <c:v>265</c:v>
                </c:pt>
                <c:pt idx="88">
                  <c:v>396</c:v>
                </c:pt>
                <c:pt idx="89">
                  <c:v>734</c:v>
                </c:pt>
                <c:pt idx="90">
                  <c:v>422</c:v>
                </c:pt>
                <c:pt idx="91">
                  <c:v>90</c:v>
                </c:pt>
                <c:pt idx="92">
                  <c:v>306</c:v>
                </c:pt>
                <c:pt idx="93">
                  <c:v>62</c:v>
                </c:pt>
                <c:pt idx="94">
                  <c:v>406</c:v>
                </c:pt>
                <c:pt idx="95">
                  <c:v>183</c:v>
                </c:pt>
                <c:pt idx="96">
                  <c:v>369</c:v>
                </c:pt>
                <c:pt idx="97">
                  <c:v>519</c:v>
                </c:pt>
                <c:pt idx="98">
                  <c:v>491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1709052"/>
        <c:axId val="889544782"/>
      </c:lineChart>
      <c:dateAx>
        <c:axId val="921709052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0" forceAA="0"/>
          <a:lstStyle/>
          <a:p>
            <a:pPr>
              <a:defRPr lang="en-US" sz="14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9544782"/>
        <c:crosses val="autoZero"/>
        <c:auto val="1"/>
        <c:lblAlgn val="ctr"/>
        <c:lblOffset val="100"/>
        <c:baseTimeUnit val="days"/>
      </c:dateAx>
      <c:valAx>
        <c:axId val="88954478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accent5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17090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134db1d-3342-4433-b0ea-336a44ace8b4}"/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Performance &amp; Cost Analysis Dashboard.xlsx]Sheet3!PivotTable2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sng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800" u="sng">
                <a:solidFill>
                  <a:schemeClr val="bg1"/>
                </a:solidFill>
              </a:rPr>
              <a:t>Number of Task By Manager(Top 5)</a:t>
            </a:r>
            <a:endParaRPr lang="en-IN" altLang="en-US" sz="1800" u="sng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0153917050691244"/>
          <c:y val="0.0053447354355959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Sheet3!$A$4:$A$9</c:f>
              <c:strCache>
                <c:ptCount val="5"/>
                <c:pt idx="0">
                  <c:v>Andrew Blue</c:v>
                </c:pt>
                <c:pt idx="1">
                  <c:v>Mike Brown</c:v>
                </c:pt>
                <c:pt idx="2">
                  <c:v>John Doe</c:v>
                </c:pt>
                <c:pt idx="3">
                  <c:v>Jane Smith</c:v>
                </c:pt>
                <c:pt idx="4">
                  <c:v>Nancy Grey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18</c:v>
                </c:pt>
                <c:pt idx="4">
                  <c:v>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-40"/>
        <c:axId val="221765311"/>
        <c:axId val="817223241"/>
      </c:barChart>
      <c:catAx>
        <c:axId val="22176531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17223241"/>
        <c:crosses val="autoZero"/>
        <c:auto val="1"/>
        <c:lblAlgn val="ctr"/>
        <c:lblOffset val="100"/>
        <c:noMultiLvlLbl val="0"/>
      </c:catAx>
      <c:valAx>
        <c:axId val="81722324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76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bd3e049-21ab-4eff-8c1e-4f0fafc5df38}"/>
      </c:ext>
    </c:extLst>
  </c:chart>
  <c:spPr>
    <a:solidFill>
      <a:schemeClr val="accent5">
        <a:lumMod val="50000"/>
      </a:schemeClr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Performance &amp; Cost Analysis Dashboard.xlsx]Sheet1!PivotTable1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0" i="0" u="sng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800" b="1" u="sng">
                <a:solidFill>
                  <a:schemeClr val="bg1"/>
                </a:solidFill>
              </a:rPr>
              <a:t>Cost Per Unit By Manager</a:t>
            </a:r>
            <a:endParaRPr lang="en-IN" altLang="en-US" sz="1800" b="1" u="sng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0208746575989421"/>
          <c:y val="0.011960014280614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02684180468304"/>
          <c:y val="0.153873616565512"/>
          <c:w val="0.746440129449838"/>
          <c:h val="0.7217779364512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numFmt formatCode="#,##0.00;[Red]\-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8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#,##0.00;[Red]\-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8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#,##0.00;[Red]\-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8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#,##0.00;[Red]\-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8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#,##0.00;[Red]\-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800" b="1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David White</c:v>
                </c:pt>
                <c:pt idx="1">
                  <c:v>Emily Davis</c:v>
                </c:pt>
                <c:pt idx="2">
                  <c:v>Nancy Grey</c:v>
                </c:pt>
                <c:pt idx="3">
                  <c:v>Andrew Blue</c:v>
                </c:pt>
                <c:pt idx="4">
                  <c:v>Chris Green</c:v>
                </c:pt>
              </c:strCache>
            </c:strRef>
          </c:cat>
          <c:val>
            <c:numRef>
              <c:f>Sheet1!$B$4:$B$9</c:f>
              <c:numCache>
                <c:formatCode>"$"#,##0.00_);[Red]\("$"#,##0.00\)</c:formatCode>
                <c:ptCount val="5"/>
                <c:pt idx="0">
                  <c:v>118.994644258139</c:v>
                </c:pt>
                <c:pt idx="1">
                  <c:v>142.455879546322</c:v>
                </c:pt>
                <c:pt idx="2">
                  <c:v>156.393004702647</c:v>
                </c:pt>
                <c:pt idx="3">
                  <c:v>181.233721539495</c:v>
                </c:pt>
                <c:pt idx="4">
                  <c:v>215.164193999378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0"/>
        <c:axId val="590764156"/>
        <c:axId val="675418177"/>
      </c:barChart>
      <c:catAx>
        <c:axId val="590764156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675418177"/>
        <c:crosses val="autoZero"/>
        <c:auto val="1"/>
        <c:lblAlgn val="ctr"/>
        <c:lblOffset val="100"/>
        <c:noMultiLvlLbl val="0"/>
      </c:catAx>
      <c:valAx>
        <c:axId val="675418177"/>
        <c:scaling>
          <c:orientation val="minMax"/>
        </c:scaling>
        <c:delete val="1"/>
        <c:axPos val="b"/>
        <c:numFmt formatCode="&quot;$&quot;#,##0.00_);[Red]\(&quot;$&quot;#,##0.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7641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21b33df-c44c-4d19-915e-8e3288519807}"/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4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Performance &amp; Cost Analysis Dashboard.xlsx]Sheet2!PivotTable2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sng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800" u="sng">
                <a:solidFill>
                  <a:schemeClr val="bg1"/>
                </a:solidFill>
              </a:rPr>
              <a:t>Cost Per Unit By Prodyct Type</a:t>
            </a:r>
            <a:endParaRPr lang="en-IN" altLang="en-US" sz="1800" u="sng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0195062193742933"/>
          <c:y val="0.02004306774888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800" b="1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Electronics</c:v>
                </c:pt>
                <c:pt idx="1">
                  <c:v>Machinery</c:v>
                </c:pt>
                <c:pt idx="2">
                  <c:v>Automobiles</c:v>
                </c:pt>
                <c:pt idx="3">
                  <c:v>Furniture</c:v>
                </c:pt>
              </c:strCache>
            </c:strRef>
          </c:cat>
          <c:val>
            <c:numRef>
              <c:f>Sheet2!$B$4:$B$8</c:f>
              <c:numCache>
                <c:formatCode>"$"#,##0.00_);[Red]\("$"#,##0.00\)</c:formatCode>
                <c:ptCount val="4"/>
                <c:pt idx="0">
                  <c:v>108.368246516667</c:v>
                </c:pt>
                <c:pt idx="1">
                  <c:v>108.976598946377</c:v>
                </c:pt>
                <c:pt idx="2">
                  <c:v>140.873876954133</c:v>
                </c:pt>
                <c:pt idx="3">
                  <c:v>180.441033487786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10107204"/>
        <c:axId val="902254171"/>
      </c:barChart>
      <c:catAx>
        <c:axId val="10107204"/>
        <c:scaling>
          <c:orientation val="minMax"/>
        </c:scaling>
        <c:delete val="0"/>
        <c:axPos val="l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02254171"/>
        <c:crosses val="autoZero"/>
        <c:auto val="1"/>
        <c:lblAlgn val="ctr"/>
        <c:lblOffset val="100"/>
        <c:noMultiLvlLbl val="0"/>
      </c:catAx>
      <c:valAx>
        <c:axId val="902254171"/>
        <c:scaling>
          <c:orientation val="minMax"/>
        </c:scaling>
        <c:delete val="1"/>
        <c:axPos val="b"/>
        <c:numFmt formatCode="&quot;$&quot;#,##0.00_);[Red]\(&quot;$&quot;#,##0.00\)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sng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101072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365846d-5875-4a39-aad1-bcce7545efba}"/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u="sng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Performance &amp; Cost Analysis Dashboard.xlsx]Sheet3!PivotTable2</c:name>
    <c:fmtId val="20"/>
  </c:pivotSource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Sheet3!$A$4:$A$9</c:f>
              <c:strCache>
                <c:ptCount val="5"/>
                <c:pt idx="0">
                  <c:v>Andrew Blue</c:v>
                </c:pt>
                <c:pt idx="1">
                  <c:v>Mike Brown</c:v>
                </c:pt>
                <c:pt idx="2">
                  <c:v>John Doe</c:v>
                </c:pt>
                <c:pt idx="3">
                  <c:v>Jane Smith</c:v>
                </c:pt>
                <c:pt idx="4">
                  <c:v>Nancy Grey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18</c:v>
                </c:pt>
                <c:pt idx="4">
                  <c:v>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006563"/>
        <c:axId val="811925817"/>
      </c:areaChart>
      <c:catAx>
        <c:axId val="21200656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1925817"/>
        <c:crosses val="autoZero"/>
        <c:auto val="1"/>
        <c:lblAlgn val="ctr"/>
        <c:lblOffset val="100"/>
        <c:noMultiLvlLbl val="0"/>
      </c:catAx>
      <c:valAx>
        <c:axId val="81192581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0065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9e3e5295-7bda-47fe-a4a2-9268af6a92b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Performance &amp; Cost Analysis Dashboard.xlsx]Sheet1!PivotTable1</c:name>
    <c:fmtId val="6"/>
  </c:pivotSource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dLbls>
            <c:delete val="1"/>
          </c:dLbls>
          <c:cat>
            <c:strRef>
              <c:f>Sheet1!$A$4:$A$9</c:f>
              <c:strCache>
                <c:ptCount val="5"/>
                <c:pt idx="0">
                  <c:v>David White</c:v>
                </c:pt>
                <c:pt idx="1">
                  <c:v>Emily Davis</c:v>
                </c:pt>
                <c:pt idx="2">
                  <c:v>Nancy Grey</c:v>
                </c:pt>
                <c:pt idx="3">
                  <c:v>Andrew Blue</c:v>
                </c:pt>
                <c:pt idx="4">
                  <c:v>Chris Green</c:v>
                </c:pt>
              </c:strCache>
            </c:strRef>
          </c:cat>
          <c:val>
            <c:numRef>
              <c:f>Sheet1!$B$4:$B$9</c:f>
              <c:numCache>
                <c:formatCode>"$"#,##0.00_);[Red]\("$"#,##0.00\)</c:formatCode>
                <c:ptCount val="5"/>
                <c:pt idx="0">
                  <c:v>118.994644258139</c:v>
                </c:pt>
                <c:pt idx="1">
                  <c:v>142.455879546322</c:v>
                </c:pt>
                <c:pt idx="2">
                  <c:v>156.393004702647</c:v>
                </c:pt>
                <c:pt idx="3">
                  <c:v>181.233721539495</c:v>
                </c:pt>
                <c:pt idx="4">
                  <c:v>215.164193999378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816208"/>
        <c:axId val="484621725"/>
      </c:areaChart>
      <c:catAx>
        <c:axId val="573816208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4621725"/>
        <c:crosses val="autoZero"/>
        <c:auto val="1"/>
        <c:lblAlgn val="ctr"/>
        <c:lblOffset val="100"/>
        <c:noMultiLvlLbl val="0"/>
      </c:catAx>
      <c:valAx>
        <c:axId val="484621725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3816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1589715-26f3-4d38-8974-8965f0dc3ac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Performance &amp; Cost Analysis Dashboard.xlsx]Sheet4!PivotTable3</c:name>
    <c:fmtId val="6"/>
  </c:pivotSource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Sheet4!$A$4:$A$103</c:f>
              <c:strCache>
                <c:ptCount val="99"/>
                <c:pt idx="0">
                  <c:v>22-09-2023</c:v>
                </c:pt>
                <c:pt idx="1">
                  <c:v>24-09-2023</c:v>
                </c:pt>
                <c:pt idx="2">
                  <c:v>28-09-2023</c:v>
                </c:pt>
                <c:pt idx="3">
                  <c:v>01-10-2023</c:v>
                </c:pt>
                <c:pt idx="4">
                  <c:v>08-10-2023</c:v>
                </c:pt>
                <c:pt idx="5">
                  <c:v>15-10-2023</c:v>
                </c:pt>
                <c:pt idx="6">
                  <c:v>16-10-2023</c:v>
                </c:pt>
                <c:pt idx="7">
                  <c:v>17-10-2023</c:v>
                </c:pt>
                <c:pt idx="8">
                  <c:v>18-10-2023</c:v>
                </c:pt>
                <c:pt idx="9">
                  <c:v>22-10-2023</c:v>
                </c:pt>
                <c:pt idx="10">
                  <c:v>29-10-2023</c:v>
                </c:pt>
                <c:pt idx="11">
                  <c:v>31-10-2023</c:v>
                </c:pt>
                <c:pt idx="12">
                  <c:v>02-11-2023</c:v>
                </c:pt>
                <c:pt idx="13">
                  <c:v>03-11-2023</c:v>
                </c:pt>
                <c:pt idx="14">
                  <c:v>04-11-2023</c:v>
                </c:pt>
                <c:pt idx="15">
                  <c:v>05-11-2023</c:v>
                </c:pt>
                <c:pt idx="16">
                  <c:v>10-11-2023</c:v>
                </c:pt>
                <c:pt idx="17">
                  <c:v>13-11-2023</c:v>
                </c:pt>
                <c:pt idx="18">
                  <c:v>19-11-2023</c:v>
                </c:pt>
                <c:pt idx="19">
                  <c:v>21-11-2023</c:v>
                </c:pt>
                <c:pt idx="20">
                  <c:v>22-11-2023</c:v>
                </c:pt>
                <c:pt idx="21">
                  <c:v>24-11-2023</c:v>
                </c:pt>
                <c:pt idx="22">
                  <c:v>26-11-2023</c:v>
                </c:pt>
                <c:pt idx="23">
                  <c:v>04-12-2023</c:v>
                </c:pt>
                <c:pt idx="24">
                  <c:v>13-12-2023</c:v>
                </c:pt>
                <c:pt idx="25">
                  <c:v>14-12-2023</c:v>
                </c:pt>
                <c:pt idx="26">
                  <c:v>17-12-2023</c:v>
                </c:pt>
                <c:pt idx="27">
                  <c:v>22-12-2023</c:v>
                </c:pt>
                <c:pt idx="28">
                  <c:v>26-12-2023</c:v>
                </c:pt>
                <c:pt idx="29">
                  <c:v>29-12-2023</c:v>
                </c:pt>
                <c:pt idx="30">
                  <c:v>01-01-2024</c:v>
                </c:pt>
                <c:pt idx="31">
                  <c:v>02-01-2024</c:v>
                </c:pt>
                <c:pt idx="32">
                  <c:v>03-01-2024</c:v>
                </c:pt>
                <c:pt idx="33">
                  <c:v>05-01-2024</c:v>
                </c:pt>
                <c:pt idx="34">
                  <c:v>08-01-2024</c:v>
                </c:pt>
                <c:pt idx="35">
                  <c:v>13-01-2024</c:v>
                </c:pt>
                <c:pt idx="36">
                  <c:v>14-01-2024</c:v>
                </c:pt>
                <c:pt idx="37">
                  <c:v>16-01-2024</c:v>
                </c:pt>
                <c:pt idx="38">
                  <c:v>18-01-2024</c:v>
                </c:pt>
                <c:pt idx="39">
                  <c:v>27-01-2024</c:v>
                </c:pt>
                <c:pt idx="40">
                  <c:v>07-02-2024</c:v>
                </c:pt>
                <c:pt idx="41">
                  <c:v>08-02-2024</c:v>
                </c:pt>
                <c:pt idx="42">
                  <c:v>13-02-2024</c:v>
                </c:pt>
                <c:pt idx="43">
                  <c:v>17-02-2024</c:v>
                </c:pt>
                <c:pt idx="44">
                  <c:v>25-02-2024</c:v>
                </c:pt>
                <c:pt idx="45">
                  <c:v>26-02-2024</c:v>
                </c:pt>
                <c:pt idx="46">
                  <c:v>28-02-2024</c:v>
                </c:pt>
                <c:pt idx="47">
                  <c:v>05-03-2024</c:v>
                </c:pt>
                <c:pt idx="48">
                  <c:v>06-03-2024</c:v>
                </c:pt>
                <c:pt idx="49">
                  <c:v>10-03-2024</c:v>
                </c:pt>
                <c:pt idx="50">
                  <c:v>13-03-2024</c:v>
                </c:pt>
                <c:pt idx="51">
                  <c:v>18-03-2024</c:v>
                </c:pt>
                <c:pt idx="52">
                  <c:v>19-03-2024</c:v>
                </c:pt>
                <c:pt idx="53">
                  <c:v>20-03-2024</c:v>
                </c:pt>
                <c:pt idx="54">
                  <c:v>21-03-2024</c:v>
                </c:pt>
                <c:pt idx="55">
                  <c:v>23-03-2024</c:v>
                </c:pt>
                <c:pt idx="56">
                  <c:v>26-03-2024</c:v>
                </c:pt>
                <c:pt idx="57">
                  <c:v>27-03-2024</c:v>
                </c:pt>
                <c:pt idx="58">
                  <c:v>29-03-2024</c:v>
                </c:pt>
                <c:pt idx="59">
                  <c:v>30-03-2024</c:v>
                </c:pt>
                <c:pt idx="60">
                  <c:v>01-04-2024</c:v>
                </c:pt>
                <c:pt idx="61">
                  <c:v>08-04-2024</c:v>
                </c:pt>
                <c:pt idx="62">
                  <c:v>10-04-2024</c:v>
                </c:pt>
                <c:pt idx="63">
                  <c:v>16-04-2024</c:v>
                </c:pt>
                <c:pt idx="64">
                  <c:v>25-04-2024</c:v>
                </c:pt>
                <c:pt idx="65">
                  <c:v>28-04-2024</c:v>
                </c:pt>
                <c:pt idx="66">
                  <c:v>30-04-2024</c:v>
                </c:pt>
                <c:pt idx="67">
                  <c:v>08-05-2024</c:v>
                </c:pt>
                <c:pt idx="68">
                  <c:v>10-05-2024</c:v>
                </c:pt>
                <c:pt idx="69">
                  <c:v>12-05-2024</c:v>
                </c:pt>
                <c:pt idx="70">
                  <c:v>15-05-2024</c:v>
                </c:pt>
                <c:pt idx="71">
                  <c:v>20-05-2024</c:v>
                </c:pt>
                <c:pt idx="72">
                  <c:v>01-06-2024</c:v>
                </c:pt>
                <c:pt idx="73">
                  <c:v>06-06-2024</c:v>
                </c:pt>
                <c:pt idx="74">
                  <c:v>08-06-2024</c:v>
                </c:pt>
                <c:pt idx="75">
                  <c:v>10-06-2024</c:v>
                </c:pt>
                <c:pt idx="76">
                  <c:v>14-06-2024</c:v>
                </c:pt>
                <c:pt idx="77">
                  <c:v>15-06-2024</c:v>
                </c:pt>
                <c:pt idx="78">
                  <c:v>21-06-2024</c:v>
                </c:pt>
                <c:pt idx="79">
                  <c:v>22-06-2024</c:v>
                </c:pt>
                <c:pt idx="80">
                  <c:v>24-06-2024</c:v>
                </c:pt>
                <c:pt idx="81">
                  <c:v>26-06-2024</c:v>
                </c:pt>
                <c:pt idx="82">
                  <c:v>29-06-2024</c:v>
                </c:pt>
                <c:pt idx="83">
                  <c:v>05-07-2024</c:v>
                </c:pt>
                <c:pt idx="84">
                  <c:v>16-07-2024</c:v>
                </c:pt>
                <c:pt idx="85">
                  <c:v>24-07-2024</c:v>
                </c:pt>
                <c:pt idx="86">
                  <c:v>31-07-2024</c:v>
                </c:pt>
                <c:pt idx="87">
                  <c:v>02-08-2024</c:v>
                </c:pt>
                <c:pt idx="88">
                  <c:v>04-08-2024</c:v>
                </c:pt>
                <c:pt idx="89">
                  <c:v>06-08-2024</c:v>
                </c:pt>
                <c:pt idx="90">
                  <c:v>07-08-2024</c:v>
                </c:pt>
                <c:pt idx="91">
                  <c:v>16-08-2024</c:v>
                </c:pt>
                <c:pt idx="92">
                  <c:v>17-08-2024</c:v>
                </c:pt>
                <c:pt idx="93">
                  <c:v>23-08-2024</c:v>
                </c:pt>
                <c:pt idx="94">
                  <c:v>26-08-2024</c:v>
                </c:pt>
                <c:pt idx="95">
                  <c:v>28-08-2024</c:v>
                </c:pt>
                <c:pt idx="96">
                  <c:v>08-09-2024</c:v>
                </c:pt>
                <c:pt idx="97">
                  <c:v>09-09-2024</c:v>
                </c:pt>
                <c:pt idx="98">
                  <c:v>14-09-2024</c:v>
                </c:pt>
              </c:strCache>
            </c:strRef>
          </c:cat>
          <c:val>
            <c:numRef>
              <c:f>Sheet4!$B$4:$B$103</c:f>
              <c:numCache>
                <c:formatCode>General</c:formatCode>
                <c:ptCount val="99"/>
                <c:pt idx="0">
                  <c:v>214</c:v>
                </c:pt>
                <c:pt idx="1">
                  <c:v>344</c:v>
                </c:pt>
                <c:pt idx="2">
                  <c:v>213</c:v>
                </c:pt>
                <c:pt idx="3">
                  <c:v>290</c:v>
                </c:pt>
                <c:pt idx="4">
                  <c:v>231</c:v>
                </c:pt>
                <c:pt idx="5">
                  <c:v>719</c:v>
                </c:pt>
                <c:pt idx="6">
                  <c:v>624</c:v>
                </c:pt>
                <c:pt idx="7">
                  <c:v>63</c:v>
                </c:pt>
                <c:pt idx="8">
                  <c:v>263</c:v>
                </c:pt>
                <c:pt idx="9">
                  <c:v>165</c:v>
                </c:pt>
                <c:pt idx="10">
                  <c:v>288</c:v>
                </c:pt>
                <c:pt idx="11">
                  <c:v>460</c:v>
                </c:pt>
                <c:pt idx="12">
                  <c:v>876</c:v>
                </c:pt>
                <c:pt idx="13">
                  <c:v>126</c:v>
                </c:pt>
                <c:pt idx="14">
                  <c:v>177</c:v>
                </c:pt>
                <c:pt idx="15">
                  <c:v>439</c:v>
                </c:pt>
                <c:pt idx="16">
                  <c:v>666</c:v>
                </c:pt>
                <c:pt idx="17">
                  <c:v>359</c:v>
                </c:pt>
                <c:pt idx="18">
                  <c:v>511</c:v>
                </c:pt>
                <c:pt idx="19">
                  <c:v>333</c:v>
                </c:pt>
                <c:pt idx="20">
                  <c:v>354</c:v>
                </c:pt>
                <c:pt idx="21">
                  <c:v>876</c:v>
                </c:pt>
                <c:pt idx="22">
                  <c:v>86</c:v>
                </c:pt>
                <c:pt idx="23">
                  <c:v>214</c:v>
                </c:pt>
                <c:pt idx="24">
                  <c:v>289</c:v>
                </c:pt>
                <c:pt idx="25">
                  <c:v>97</c:v>
                </c:pt>
                <c:pt idx="26">
                  <c:v>366</c:v>
                </c:pt>
                <c:pt idx="27">
                  <c:v>222</c:v>
                </c:pt>
                <c:pt idx="28">
                  <c:v>902</c:v>
                </c:pt>
                <c:pt idx="29">
                  <c:v>404</c:v>
                </c:pt>
                <c:pt idx="30">
                  <c:v>160</c:v>
                </c:pt>
                <c:pt idx="31">
                  <c:v>368</c:v>
                </c:pt>
                <c:pt idx="32">
                  <c:v>180</c:v>
                </c:pt>
                <c:pt idx="33">
                  <c:v>713</c:v>
                </c:pt>
                <c:pt idx="34">
                  <c:v>447</c:v>
                </c:pt>
                <c:pt idx="35">
                  <c:v>250</c:v>
                </c:pt>
                <c:pt idx="36">
                  <c:v>463</c:v>
                </c:pt>
                <c:pt idx="37">
                  <c:v>60</c:v>
                </c:pt>
                <c:pt idx="38">
                  <c:v>192</c:v>
                </c:pt>
                <c:pt idx="39">
                  <c:v>193</c:v>
                </c:pt>
                <c:pt idx="40">
                  <c:v>214</c:v>
                </c:pt>
                <c:pt idx="41">
                  <c:v>209</c:v>
                </c:pt>
                <c:pt idx="42">
                  <c:v>526</c:v>
                </c:pt>
                <c:pt idx="43">
                  <c:v>499</c:v>
                </c:pt>
                <c:pt idx="44">
                  <c:v>128</c:v>
                </c:pt>
                <c:pt idx="45">
                  <c:v>97</c:v>
                </c:pt>
                <c:pt idx="46">
                  <c:v>2454</c:v>
                </c:pt>
                <c:pt idx="47">
                  <c:v>218</c:v>
                </c:pt>
                <c:pt idx="48">
                  <c:v>128</c:v>
                </c:pt>
                <c:pt idx="49">
                  <c:v>497</c:v>
                </c:pt>
                <c:pt idx="50">
                  <c:v>358</c:v>
                </c:pt>
                <c:pt idx="51">
                  <c:v>84</c:v>
                </c:pt>
                <c:pt idx="52">
                  <c:v>81</c:v>
                </c:pt>
                <c:pt idx="53">
                  <c:v>389</c:v>
                </c:pt>
                <c:pt idx="54">
                  <c:v>178</c:v>
                </c:pt>
                <c:pt idx="55">
                  <c:v>527</c:v>
                </c:pt>
                <c:pt idx="56">
                  <c:v>145</c:v>
                </c:pt>
                <c:pt idx="57">
                  <c:v>495</c:v>
                </c:pt>
                <c:pt idx="58">
                  <c:v>412</c:v>
                </c:pt>
                <c:pt idx="59">
                  <c:v>363</c:v>
                </c:pt>
                <c:pt idx="60">
                  <c:v>155</c:v>
                </c:pt>
                <c:pt idx="61">
                  <c:v>190</c:v>
                </c:pt>
                <c:pt idx="62">
                  <c:v>51</c:v>
                </c:pt>
                <c:pt idx="63">
                  <c:v>383</c:v>
                </c:pt>
                <c:pt idx="64">
                  <c:v>51</c:v>
                </c:pt>
                <c:pt idx="65">
                  <c:v>462</c:v>
                </c:pt>
                <c:pt idx="66">
                  <c:v>236</c:v>
                </c:pt>
                <c:pt idx="67">
                  <c:v>430</c:v>
                </c:pt>
                <c:pt idx="68">
                  <c:v>511</c:v>
                </c:pt>
                <c:pt idx="69">
                  <c:v>382</c:v>
                </c:pt>
                <c:pt idx="70">
                  <c:v>173</c:v>
                </c:pt>
                <c:pt idx="71">
                  <c:v>188</c:v>
                </c:pt>
                <c:pt idx="72">
                  <c:v>386</c:v>
                </c:pt>
                <c:pt idx="73">
                  <c:v>178</c:v>
                </c:pt>
                <c:pt idx="74">
                  <c:v>368</c:v>
                </c:pt>
                <c:pt idx="75">
                  <c:v>322</c:v>
                </c:pt>
                <c:pt idx="76">
                  <c:v>130</c:v>
                </c:pt>
                <c:pt idx="77">
                  <c:v>79</c:v>
                </c:pt>
                <c:pt idx="78">
                  <c:v>216</c:v>
                </c:pt>
                <c:pt idx="79">
                  <c:v>332</c:v>
                </c:pt>
                <c:pt idx="80">
                  <c:v>115</c:v>
                </c:pt>
                <c:pt idx="81">
                  <c:v>908</c:v>
                </c:pt>
                <c:pt idx="82">
                  <c:v>503</c:v>
                </c:pt>
                <c:pt idx="83">
                  <c:v>115</c:v>
                </c:pt>
                <c:pt idx="84">
                  <c:v>248</c:v>
                </c:pt>
                <c:pt idx="85">
                  <c:v>695</c:v>
                </c:pt>
                <c:pt idx="86">
                  <c:v>478</c:v>
                </c:pt>
                <c:pt idx="87">
                  <c:v>265</c:v>
                </c:pt>
                <c:pt idx="88">
                  <c:v>396</c:v>
                </c:pt>
                <c:pt idx="89">
                  <c:v>734</c:v>
                </c:pt>
                <c:pt idx="90">
                  <c:v>422</c:v>
                </c:pt>
                <c:pt idx="91">
                  <c:v>90</c:v>
                </c:pt>
                <c:pt idx="92">
                  <c:v>306</c:v>
                </c:pt>
                <c:pt idx="93">
                  <c:v>62</c:v>
                </c:pt>
                <c:pt idx="94">
                  <c:v>406</c:v>
                </c:pt>
                <c:pt idx="95">
                  <c:v>183</c:v>
                </c:pt>
                <c:pt idx="96">
                  <c:v>369</c:v>
                </c:pt>
                <c:pt idx="97">
                  <c:v>519</c:v>
                </c:pt>
                <c:pt idx="98">
                  <c:v>491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384681"/>
        <c:axId val="212935176"/>
      </c:areaChart>
      <c:catAx>
        <c:axId val="700384681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935176"/>
        <c:crosses val="autoZero"/>
        <c:auto val="1"/>
        <c:lblAlgn val="ctr"/>
        <c:lblOffset val="100"/>
        <c:noMultiLvlLbl val="0"/>
      </c:catAx>
      <c:valAx>
        <c:axId val="212935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038468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3e07a4f2-e5a0-444c-b6fe-f10fb7d067b2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dLbls>
            <c:delete val="1"/>
          </c:dLbls>
          <c:cat>
            <c:strRef>
              <c:f>{"1","2","3","4","5","6","7","8","9","10","11","12","13","14","15","16","17","18","19","20","21","22","23","24","25","26","27","28","29","30","31","32","33","34","35","36","37","38","39","40","41","42","43","44","45","46","47","48","49","50","51","52","53","54","55","56","57","58","59","60","61","62","63","64","65","66","67","68","69","70","71","72","73","74","75","76","77","78","79","80","81","82","83","84","85","86","87","88","89","90","91","92","93","94","95","96","97","98","99","100","101","102","103","104","105","106","107","108","109","110","111","112","113","114","115","116","117","118","119","120"}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{22288,66500,76076,17069,41349,19691,11696,52269,25893,38480,46767,26145,64090,679,39008,18796,65052,38232,50652,27140,11385,33684,42328,42873,31392,47880,13490,7272,48316,15132,5246,37744,679,48000,34680,50274,43615,14076,12870,679,35280,37490,679,46068,11078,32045,33284,11954,36708,30600,13568,33344,3960,58208,59458,13872,57706,59248,29440,679,8475,44330,3186,679,679,28050,16698,27956,679,36984,46800,7125,12320,42028,679,25758,34804,679,45312,44525,3132,16740,65250,10688,18648,5822,51221,75332,679,13310,47952,4984,4131,24549,679,35088,25254,17500,36934,679,40565,679,679,12753,16864,56888,679,31122,25853,11092,4221,31500,31414,40446,42432,64635,51168,24948,56118,46548}</c:f>
              <c:numCache>
                <c:formatCode>General</c:formatCode>
                <c:ptCount val="120"/>
                <c:pt idx="0">
                  <c:v>22288</c:v>
                </c:pt>
                <c:pt idx="1">
                  <c:v>66500</c:v>
                </c:pt>
                <c:pt idx="2">
                  <c:v>76076</c:v>
                </c:pt>
                <c:pt idx="3">
                  <c:v>17069</c:v>
                </c:pt>
                <c:pt idx="4">
                  <c:v>41349</c:v>
                </c:pt>
                <c:pt idx="5">
                  <c:v>19691</c:v>
                </c:pt>
                <c:pt idx="6">
                  <c:v>11696</c:v>
                </c:pt>
                <c:pt idx="7">
                  <c:v>52269</c:v>
                </c:pt>
                <c:pt idx="8">
                  <c:v>25893</c:v>
                </c:pt>
                <c:pt idx="9">
                  <c:v>38480</c:v>
                </c:pt>
                <c:pt idx="10">
                  <c:v>46767</c:v>
                </c:pt>
                <c:pt idx="11">
                  <c:v>26145</c:v>
                </c:pt>
                <c:pt idx="12">
                  <c:v>64090</c:v>
                </c:pt>
                <c:pt idx="13">
                  <c:v>679</c:v>
                </c:pt>
                <c:pt idx="14">
                  <c:v>39008</c:v>
                </c:pt>
                <c:pt idx="15">
                  <c:v>18796</c:v>
                </c:pt>
                <c:pt idx="16">
                  <c:v>65052</c:v>
                </c:pt>
                <c:pt idx="17">
                  <c:v>38232</c:v>
                </c:pt>
                <c:pt idx="18">
                  <c:v>50652</c:v>
                </c:pt>
                <c:pt idx="19">
                  <c:v>27140</c:v>
                </c:pt>
                <c:pt idx="20">
                  <c:v>11385</c:v>
                </c:pt>
                <c:pt idx="21">
                  <c:v>33684</c:v>
                </c:pt>
                <c:pt idx="22">
                  <c:v>42328</c:v>
                </c:pt>
                <c:pt idx="23">
                  <c:v>42873</c:v>
                </c:pt>
                <c:pt idx="24">
                  <c:v>31392</c:v>
                </c:pt>
                <c:pt idx="25">
                  <c:v>47880</c:v>
                </c:pt>
                <c:pt idx="26">
                  <c:v>13490</c:v>
                </c:pt>
                <c:pt idx="27">
                  <c:v>7272</c:v>
                </c:pt>
                <c:pt idx="28">
                  <c:v>48316</c:v>
                </c:pt>
                <c:pt idx="29">
                  <c:v>15132</c:v>
                </c:pt>
                <c:pt idx="30">
                  <c:v>5246</c:v>
                </c:pt>
                <c:pt idx="31">
                  <c:v>37744</c:v>
                </c:pt>
                <c:pt idx="32">
                  <c:v>679</c:v>
                </c:pt>
                <c:pt idx="33">
                  <c:v>48000</c:v>
                </c:pt>
                <c:pt idx="34">
                  <c:v>34680</c:v>
                </c:pt>
                <c:pt idx="35">
                  <c:v>50274</c:v>
                </c:pt>
                <c:pt idx="36">
                  <c:v>43615</c:v>
                </c:pt>
                <c:pt idx="37">
                  <c:v>14076</c:v>
                </c:pt>
                <c:pt idx="38">
                  <c:v>12870</c:v>
                </c:pt>
                <c:pt idx="39">
                  <c:v>679</c:v>
                </c:pt>
                <c:pt idx="40">
                  <c:v>35280</c:v>
                </c:pt>
                <c:pt idx="41">
                  <c:v>37490</c:v>
                </c:pt>
                <c:pt idx="42">
                  <c:v>679</c:v>
                </c:pt>
                <c:pt idx="43">
                  <c:v>46068</c:v>
                </c:pt>
                <c:pt idx="44">
                  <c:v>11078</c:v>
                </c:pt>
                <c:pt idx="45">
                  <c:v>32045</c:v>
                </c:pt>
                <c:pt idx="46">
                  <c:v>33284</c:v>
                </c:pt>
                <c:pt idx="47">
                  <c:v>11954</c:v>
                </c:pt>
                <c:pt idx="48">
                  <c:v>36708</c:v>
                </c:pt>
                <c:pt idx="49">
                  <c:v>30600</c:v>
                </c:pt>
                <c:pt idx="50">
                  <c:v>13568</c:v>
                </c:pt>
                <c:pt idx="51">
                  <c:v>33344</c:v>
                </c:pt>
                <c:pt idx="52">
                  <c:v>3960</c:v>
                </c:pt>
                <c:pt idx="53">
                  <c:v>58208</c:v>
                </c:pt>
                <c:pt idx="54">
                  <c:v>59458</c:v>
                </c:pt>
                <c:pt idx="55">
                  <c:v>13872</c:v>
                </c:pt>
                <c:pt idx="56">
                  <c:v>57706</c:v>
                </c:pt>
                <c:pt idx="57">
                  <c:v>59248</c:v>
                </c:pt>
                <c:pt idx="58">
                  <c:v>29440</c:v>
                </c:pt>
                <c:pt idx="59">
                  <c:v>679</c:v>
                </c:pt>
                <c:pt idx="60">
                  <c:v>8475</c:v>
                </c:pt>
                <c:pt idx="61">
                  <c:v>44330</c:v>
                </c:pt>
                <c:pt idx="62">
                  <c:v>3186</c:v>
                </c:pt>
                <c:pt idx="63">
                  <c:v>679</c:v>
                </c:pt>
                <c:pt idx="64">
                  <c:v>679</c:v>
                </c:pt>
                <c:pt idx="65">
                  <c:v>28050</c:v>
                </c:pt>
                <c:pt idx="66">
                  <c:v>16698</c:v>
                </c:pt>
                <c:pt idx="67">
                  <c:v>27956</c:v>
                </c:pt>
                <c:pt idx="68">
                  <c:v>679</c:v>
                </c:pt>
                <c:pt idx="69">
                  <c:v>36984</c:v>
                </c:pt>
                <c:pt idx="70">
                  <c:v>46800</c:v>
                </c:pt>
                <c:pt idx="71">
                  <c:v>7125</c:v>
                </c:pt>
                <c:pt idx="72">
                  <c:v>12320</c:v>
                </c:pt>
                <c:pt idx="73">
                  <c:v>42028</c:v>
                </c:pt>
                <c:pt idx="74">
                  <c:v>679</c:v>
                </c:pt>
                <c:pt idx="75">
                  <c:v>25758</c:v>
                </c:pt>
                <c:pt idx="76">
                  <c:v>34804</c:v>
                </c:pt>
                <c:pt idx="77">
                  <c:v>679</c:v>
                </c:pt>
                <c:pt idx="78">
                  <c:v>45312</c:v>
                </c:pt>
                <c:pt idx="79">
                  <c:v>44525</c:v>
                </c:pt>
                <c:pt idx="80">
                  <c:v>3132</c:v>
                </c:pt>
                <c:pt idx="81">
                  <c:v>16740</c:v>
                </c:pt>
                <c:pt idx="82">
                  <c:v>65250</c:v>
                </c:pt>
                <c:pt idx="83">
                  <c:v>10688</c:v>
                </c:pt>
                <c:pt idx="84">
                  <c:v>18648</c:v>
                </c:pt>
                <c:pt idx="85">
                  <c:v>5822</c:v>
                </c:pt>
                <c:pt idx="86">
                  <c:v>51221</c:v>
                </c:pt>
                <c:pt idx="87">
                  <c:v>75332</c:v>
                </c:pt>
                <c:pt idx="88">
                  <c:v>679</c:v>
                </c:pt>
                <c:pt idx="89">
                  <c:v>13310</c:v>
                </c:pt>
                <c:pt idx="90">
                  <c:v>47952</c:v>
                </c:pt>
                <c:pt idx="91">
                  <c:v>4984</c:v>
                </c:pt>
                <c:pt idx="92">
                  <c:v>4131</c:v>
                </c:pt>
                <c:pt idx="93">
                  <c:v>24549</c:v>
                </c:pt>
                <c:pt idx="94">
                  <c:v>679</c:v>
                </c:pt>
                <c:pt idx="95">
                  <c:v>35088</c:v>
                </c:pt>
                <c:pt idx="96">
                  <c:v>25254</c:v>
                </c:pt>
                <c:pt idx="97">
                  <c:v>17500</c:v>
                </c:pt>
                <c:pt idx="98">
                  <c:v>36934</c:v>
                </c:pt>
                <c:pt idx="99">
                  <c:v>679</c:v>
                </c:pt>
                <c:pt idx="100">
                  <c:v>40565</c:v>
                </c:pt>
                <c:pt idx="101">
                  <c:v>679</c:v>
                </c:pt>
                <c:pt idx="102">
                  <c:v>679</c:v>
                </c:pt>
                <c:pt idx="103">
                  <c:v>12753</c:v>
                </c:pt>
                <c:pt idx="104">
                  <c:v>16864</c:v>
                </c:pt>
                <c:pt idx="105">
                  <c:v>56888</c:v>
                </c:pt>
                <c:pt idx="106">
                  <c:v>679</c:v>
                </c:pt>
                <c:pt idx="107">
                  <c:v>31122</c:v>
                </c:pt>
                <c:pt idx="108">
                  <c:v>25853</c:v>
                </c:pt>
                <c:pt idx="109">
                  <c:v>11092</c:v>
                </c:pt>
                <c:pt idx="110">
                  <c:v>4221</c:v>
                </c:pt>
                <c:pt idx="111">
                  <c:v>31500</c:v>
                </c:pt>
                <c:pt idx="112">
                  <c:v>31414</c:v>
                </c:pt>
                <c:pt idx="113">
                  <c:v>40446</c:v>
                </c:pt>
                <c:pt idx="114">
                  <c:v>42432</c:v>
                </c:pt>
                <c:pt idx="115">
                  <c:v>64635</c:v>
                </c:pt>
                <c:pt idx="116">
                  <c:v>51168</c:v>
                </c:pt>
                <c:pt idx="117">
                  <c:v>24948</c:v>
                </c:pt>
                <c:pt idx="118">
                  <c:v>56118</c:v>
                </c:pt>
                <c:pt idx="119">
                  <c:v>46548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45833"/>
        <c:axId val="415455983"/>
      </c:areaChart>
      <c:catAx>
        <c:axId val="16264583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5455983"/>
        <c:crosses val="autoZero"/>
        <c:auto val="1"/>
        <c:lblAlgn val="ctr"/>
        <c:lblOffset val="100"/>
        <c:noMultiLvlLbl val="0"/>
      </c:catAx>
      <c:valAx>
        <c:axId val="4154559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64583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42c314ff-bd6a-4266-a58e-50cbb9c98ab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 Performance &amp; Cost Analysis Dashboard.xlsx]Sheet4!PivotTable3</c:name>
    <c:fmtId val="8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800" b="1" i="0" u="sng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800" u="sng">
                <a:solidFill>
                  <a:schemeClr val="bg1"/>
                </a:solidFill>
              </a:rPr>
              <a:t>Total Unit Produced By Month-Year</a:t>
            </a:r>
            <a:endParaRPr lang="en-IN" altLang="en-US" sz="1800" u="sng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0144321409730958"/>
          <c:y val="0.019750899685110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Sheet4!$A$4:$A$103</c:f>
              <c:strCache>
                <c:ptCount val="99"/>
                <c:pt idx="0">
                  <c:v>22-09-2023</c:v>
                </c:pt>
                <c:pt idx="1">
                  <c:v>24-09-2023</c:v>
                </c:pt>
                <c:pt idx="2">
                  <c:v>28-09-2023</c:v>
                </c:pt>
                <c:pt idx="3">
                  <c:v>01-10-2023</c:v>
                </c:pt>
                <c:pt idx="4">
                  <c:v>08-10-2023</c:v>
                </c:pt>
                <c:pt idx="5">
                  <c:v>15-10-2023</c:v>
                </c:pt>
                <c:pt idx="6">
                  <c:v>16-10-2023</c:v>
                </c:pt>
                <c:pt idx="7">
                  <c:v>17-10-2023</c:v>
                </c:pt>
                <c:pt idx="8">
                  <c:v>18-10-2023</c:v>
                </c:pt>
                <c:pt idx="9">
                  <c:v>22-10-2023</c:v>
                </c:pt>
                <c:pt idx="10">
                  <c:v>29-10-2023</c:v>
                </c:pt>
                <c:pt idx="11">
                  <c:v>31-10-2023</c:v>
                </c:pt>
                <c:pt idx="12">
                  <c:v>02-11-2023</c:v>
                </c:pt>
                <c:pt idx="13">
                  <c:v>03-11-2023</c:v>
                </c:pt>
                <c:pt idx="14">
                  <c:v>04-11-2023</c:v>
                </c:pt>
                <c:pt idx="15">
                  <c:v>05-11-2023</c:v>
                </c:pt>
                <c:pt idx="16">
                  <c:v>10-11-2023</c:v>
                </c:pt>
                <c:pt idx="17">
                  <c:v>13-11-2023</c:v>
                </c:pt>
                <c:pt idx="18">
                  <c:v>19-11-2023</c:v>
                </c:pt>
                <c:pt idx="19">
                  <c:v>21-11-2023</c:v>
                </c:pt>
                <c:pt idx="20">
                  <c:v>22-11-2023</c:v>
                </c:pt>
                <c:pt idx="21">
                  <c:v>24-11-2023</c:v>
                </c:pt>
                <c:pt idx="22">
                  <c:v>26-11-2023</c:v>
                </c:pt>
                <c:pt idx="23">
                  <c:v>04-12-2023</c:v>
                </c:pt>
                <c:pt idx="24">
                  <c:v>13-12-2023</c:v>
                </c:pt>
                <c:pt idx="25">
                  <c:v>14-12-2023</c:v>
                </c:pt>
                <c:pt idx="26">
                  <c:v>17-12-2023</c:v>
                </c:pt>
                <c:pt idx="27">
                  <c:v>22-12-2023</c:v>
                </c:pt>
                <c:pt idx="28">
                  <c:v>26-12-2023</c:v>
                </c:pt>
                <c:pt idx="29">
                  <c:v>29-12-2023</c:v>
                </c:pt>
                <c:pt idx="30">
                  <c:v>01-01-2024</c:v>
                </c:pt>
                <c:pt idx="31">
                  <c:v>02-01-2024</c:v>
                </c:pt>
                <c:pt idx="32">
                  <c:v>03-01-2024</c:v>
                </c:pt>
                <c:pt idx="33">
                  <c:v>05-01-2024</c:v>
                </c:pt>
                <c:pt idx="34">
                  <c:v>08-01-2024</c:v>
                </c:pt>
                <c:pt idx="35">
                  <c:v>13-01-2024</c:v>
                </c:pt>
                <c:pt idx="36">
                  <c:v>14-01-2024</c:v>
                </c:pt>
                <c:pt idx="37">
                  <c:v>16-01-2024</c:v>
                </c:pt>
                <c:pt idx="38">
                  <c:v>18-01-2024</c:v>
                </c:pt>
                <c:pt idx="39">
                  <c:v>27-01-2024</c:v>
                </c:pt>
                <c:pt idx="40">
                  <c:v>07-02-2024</c:v>
                </c:pt>
                <c:pt idx="41">
                  <c:v>08-02-2024</c:v>
                </c:pt>
                <c:pt idx="42">
                  <c:v>13-02-2024</c:v>
                </c:pt>
                <c:pt idx="43">
                  <c:v>17-02-2024</c:v>
                </c:pt>
                <c:pt idx="44">
                  <c:v>25-02-2024</c:v>
                </c:pt>
                <c:pt idx="45">
                  <c:v>26-02-2024</c:v>
                </c:pt>
                <c:pt idx="46">
                  <c:v>28-02-2024</c:v>
                </c:pt>
                <c:pt idx="47">
                  <c:v>05-03-2024</c:v>
                </c:pt>
                <c:pt idx="48">
                  <c:v>06-03-2024</c:v>
                </c:pt>
                <c:pt idx="49">
                  <c:v>10-03-2024</c:v>
                </c:pt>
                <c:pt idx="50">
                  <c:v>13-03-2024</c:v>
                </c:pt>
                <c:pt idx="51">
                  <c:v>18-03-2024</c:v>
                </c:pt>
                <c:pt idx="52">
                  <c:v>19-03-2024</c:v>
                </c:pt>
                <c:pt idx="53">
                  <c:v>20-03-2024</c:v>
                </c:pt>
                <c:pt idx="54">
                  <c:v>21-03-2024</c:v>
                </c:pt>
                <c:pt idx="55">
                  <c:v>23-03-2024</c:v>
                </c:pt>
                <c:pt idx="56">
                  <c:v>26-03-2024</c:v>
                </c:pt>
                <c:pt idx="57">
                  <c:v>27-03-2024</c:v>
                </c:pt>
                <c:pt idx="58">
                  <c:v>29-03-2024</c:v>
                </c:pt>
                <c:pt idx="59">
                  <c:v>30-03-2024</c:v>
                </c:pt>
                <c:pt idx="60">
                  <c:v>01-04-2024</c:v>
                </c:pt>
                <c:pt idx="61">
                  <c:v>08-04-2024</c:v>
                </c:pt>
                <c:pt idx="62">
                  <c:v>10-04-2024</c:v>
                </c:pt>
                <c:pt idx="63">
                  <c:v>16-04-2024</c:v>
                </c:pt>
                <c:pt idx="64">
                  <c:v>25-04-2024</c:v>
                </c:pt>
                <c:pt idx="65">
                  <c:v>28-04-2024</c:v>
                </c:pt>
                <c:pt idx="66">
                  <c:v>30-04-2024</c:v>
                </c:pt>
                <c:pt idx="67">
                  <c:v>08-05-2024</c:v>
                </c:pt>
                <c:pt idx="68">
                  <c:v>10-05-2024</c:v>
                </c:pt>
                <c:pt idx="69">
                  <c:v>12-05-2024</c:v>
                </c:pt>
                <c:pt idx="70">
                  <c:v>15-05-2024</c:v>
                </c:pt>
                <c:pt idx="71">
                  <c:v>20-05-2024</c:v>
                </c:pt>
                <c:pt idx="72">
                  <c:v>01-06-2024</c:v>
                </c:pt>
                <c:pt idx="73">
                  <c:v>06-06-2024</c:v>
                </c:pt>
                <c:pt idx="74">
                  <c:v>08-06-2024</c:v>
                </c:pt>
                <c:pt idx="75">
                  <c:v>10-06-2024</c:v>
                </c:pt>
                <c:pt idx="76">
                  <c:v>14-06-2024</c:v>
                </c:pt>
                <c:pt idx="77">
                  <c:v>15-06-2024</c:v>
                </c:pt>
                <c:pt idx="78">
                  <c:v>21-06-2024</c:v>
                </c:pt>
                <c:pt idx="79">
                  <c:v>22-06-2024</c:v>
                </c:pt>
                <c:pt idx="80">
                  <c:v>24-06-2024</c:v>
                </c:pt>
                <c:pt idx="81">
                  <c:v>26-06-2024</c:v>
                </c:pt>
                <c:pt idx="82">
                  <c:v>29-06-2024</c:v>
                </c:pt>
                <c:pt idx="83">
                  <c:v>05-07-2024</c:v>
                </c:pt>
                <c:pt idx="84">
                  <c:v>16-07-2024</c:v>
                </c:pt>
                <c:pt idx="85">
                  <c:v>24-07-2024</c:v>
                </c:pt>
                <c:pt idx="86">
                  <c:v>31-07-2024</c:v>
                </c:pt>
                <c:pt idx="87">
                  <c:v>02-08-2024</c:v>
                </c:pt>
                <c:pt idx="88">
                  <c:v>04-08-2024</c:v>
                </c:pt>
                <c:pt idx="89">
                  <c:v>06-08-2024</c:v>
                </c:pt>
                <c:pt idx="90">
                  <c:v>07-08-2024</c:v>
                </c:pt>
                <c:pt idx="91">
                  <c:v>16-08-2024</c:v>
                </c:pt>
                <c:pt idx="92">
                  <c:v>17-08-2024</c:v>
                </c:pt>
                <c:pt idx="93">
                  <c:v>23-08-2024</c:v>
                </c:pt>
                <c:pt idx="94">
                  <c:v>26-08-2024</c:v>
                </c:pt>
                <c:pt idx="95">
                  <c:v>28-08-2024</c:v>
                </c:pt>
                <c:pt idx="96">
                  <c:v>08-09-2024</c:v>
                </c:pt>
                <c:pt idx="97">
                  <c:v>09-09-2024</c:v>
                </c:pt>
                <c:pt idx="98">
                  <c:v>14-09-2024</c:v>
                </c:pt>
              </c:strCache>
            </c:strRef>
          </c:cat>
          <c:val>
            <c:numRef>
              <c:f>Sheet4!$B$4:$B$103</c:f>
              <c:numCache>
                <c:formatCode>General</c:formatCode>
                <c:ptCount val="99"/>
                <c:pt idx="0">
                  <c:v>214</c:v>
                </c:pt>
                <c:pt idx="1">
                  <c:v>344</c:v>
                </c:pt>
                <c:pt idx="2">
                  <c:v>213</c:v>
                </c:pt>
                <c:pt idx="3">
                  <c:v>290</c:v>
                </c:pt>
                <c:pt idx="4">
                  <c:v>231</c:v>
                </c:pt>
                <c:pt idx="5">
                  <c:v>719</c:v>
                </c:pt>
                <c:pt idx="6">
                  <c:v>624</c:v>
                </c:pt>
                <c:pt idx="7">
                  <c:v>63</c:v>
                </c:pt>
                <c:pt idx="8">
                  <c:v>263</c:v>
                </c:pt>
                <c:pt idx="9">
                  <c:v>165</c:v>
                </c:pt>
                <c:pt idx="10">
                  <c:v>288</c:v>
                </c:pt>
                <c:pt idx="11">
                  <c:v>460</c:v>
                </c:pt>
                <c:pt idx="12">
                  <c:v>876</c:v>
                </c:pt>
                <c:pt idx="13">
                  <c:v>126</c:v>
                </c:pt>
                <c:pt idx="14">
                  <c:v>177</c:v>
                </c:pt>
                <c:pt idx="15">
                  <c:v>439</c:v>
                </c:pt>
                <c:pt idx="16">
                  <c:v>666</c:v>
                </c:pt>
                <c:pt idx="17">
                  <c:v>359</c:v>
                </c:pt>
                <c:pt idx="18">
                  <c:v>511</c:v>
                </c:pt>
                <c:pt idx="19">
                  <c:v>333</c:v>
                </c:pt>
                <c:pt idx="20">
                  <c:v>354</c:v>
                </c:pt>
                <c:pt idx="21">
                  <c:v>876</c:v>
                </c:pt>
                <c:pt idx="22">
                  <c:v>86</c:v>
                </c:pt>
                <c:pt idx="23">
                  <c:v>214</c:v>
                </c:pt>
                <c:pt idx="24">
                  <c:v>289</c:v>
                </c:pt>
                <c:pt idx="25">
                  <c:v>97</c:v>
                </c:pt>
                <c:pt idx="26">
                  <c:v>366</c:v>
                </c:pt>
                <c:pt idx="27">
                  <c:v>222</c:v>
                </c:pt>
                <c:pt idx="28">
                  <c:v>902</c:v>
                </c:pt>
                <c:pt idx="29">
                  <c:v>404</c:v>
                </c:pt>
                <c:pt idx="30">
                  <c:v>160</c:v>
                </c:pt>
                <c:pt idx="31">
                  <c:v>368</c:v>
                </c:pt>
                <c:pt idx="32">
                  <c:v>180</c:v>
                </c:pt>
                <c:pt idx="33">
                  <c:v>713</c:v>
                </c:pt>
                <c:pt idx="34">
                  <c:v>447</c:v>
                </c:pt>
                <c:pt idx="35">
                  <c:v>250</c:v>
                </c:pt>
                <c:pt idx="36">
                  <c:v>463</c:v>
                </c:pt>
                <c:pt idx="37">
                  <c:v>60</c:v>
                </c:pt>
                <c:pt idx="38">
                  <c:v>192</c:v>
                </c:pt>
                <c:pt idx="39">
                  <c:v>193</c:v>
                </c:pt>
                <c:pt idx="40">
                  <c:v>214</c:v>
                </c:pt>
                <c:pt idx="41">
                  <c:v>209</c:v>
                </c:pt>
                <c:pt idx="42">
                  <c:v>526</c:v>
                </c:pt>
                <c:pt idx="43">
                  <c:v>499</c:v>
                </c:pt>
                <c:pt idx="44">
                  <c:v>128</c:v>
                </c:pt>
                <c:pt idx="45">
                  <c:v>97</c:v>
                </c:pt>
                <c:pt idx="46">
                  <c:v>2454</c:v>
                </c:pt>
                <c:pt idx="47">
                  <c:v>218</c:v>
                </c:pt>
                <c:pt idx="48">
                  <c:v>128</c:v>
                </c:pt>
                <c:pt idx="49">
                  <c:v>497</c:v>
                </c:pt>
                <c:pt idx="50">
                  <c:v>358</c:v>
                </c:pt>
                <c:pt idx="51">
                  <c:v>84</c:v>
                </c:pt>
                <c:pt idx="52">
                  <c:v>81</c:v>
                </c:pt>
                <c:pt idx="53">
                  <c:v>389</c:v>
                </c:pt>
                <c:pt idx="54">
                  <c:v>178</c:v>
                </c:pt>
                <c:pt idx="55">
                  <c:v>527</c:v>
                </c:pt>
                <c:pt idx="56">
                  <c:v>145</c:v>
                </c:pt>
                <c:pt idx="57">
                  <c:v>495</c:v>
                </c:pt>
                <c:pt idx="58">
                  <c:v>412</c:v>
                </c:pt>
                <c:pt idx="59">
                  <c:v>363</c:v>
                </c:pt>
                <c:pt idx="60">
                  <c:v>155</c:v>
                </c:pt>
                <c:pt idx="61">
                  <c:v>190</c:v>
                </c:pt>
                <c:pt idx="62">
                  <c:v>51</c:v>
                </c:pt>
                <c:pt idx="63">
                  <c:v>383</c:v>
                </c:pt>
                <c:pt idx="64">
                  <c:v>51</c:v>
                </c:pt>
                <c:pt idx="65">
                  <c:v>462</c:v>
                </c:pt>
                <c:pt idx="66">
                  <c:v>236</c:v>
                </c:pt>
                <c:pt idx="67">
                  <c:v>430</c:v>
                </c:pt>
                <c:pt idx="68">
                  <c:v>511</c:v>
                </c:pt>
                <c:pt idx="69">
                  <c:v>382</c:v>
                </c:pt>
                <c:pt idx="70">
                  <c:v>173</c:v>
                </c:pt>
                <c:pt idx="71">
                  <c:v>188</c:v>
                </c:pt>
                <c:pt idx="72">
                  <c:v>386</c:v>
                </c:pt>
                <c:pt idx="73">
                  <c:v>178</c:v>
                </c:pt>
                <c:pt idx="74">
                  <c:v>368</c:v>
                </c:pt>
                <c:pt idx="75">
                  <c:v>322</c:v>
                </c:pt>
                <c:pt idx="76">
                  <c:v>130</c:v>
                </c:pt>
                <c:pt idx="77">
                  <c:v>79</c:v>
                </c:pt>
                <c:pt idx="78">
                  <c:v>216</c:v>
                </c:pt>
                <c:pt idx="79">
                  <c:v>332</c:v>
                </c:pt>
                <c:pt idx="80">
                  <c:v>115</c:v>
                </c:pt>
                <c:pt idx="81">
                  <c:v>908</c:v>
                </c:pt>
                <c:pt idx="82">
                  <c:v>503</c:v>
                </c:pt>
                <c:pt idx="83">
                  <c:v>115</c:v>
                </c:pt>
                <c:pt idx="84">
                  <c:v>248</c:v>
                </c:pt>
                <c:pt idx="85">
                  <c:v>695</c:v>
                </c:pt>
                <c:pt idx="86">
                  <c:v>478</c:v>
                </c:pt>
                <c:pt idx="87">
                  <c:v>265</c:v>
                </c:pt>
                <c:pt idx="88">
                  <c:v>396</c:v>
                </c:pt>
                <c:pt idx="89">
                  <c:v>734</c:v>
                </c:pt>
                <c:pt idx="90">
                  <c:v>422</c:v>
                </c:pt>
                <c:pt idx="91">
                  <c:v>90</c:v>
                </c:pt>
                <c:pt idx="92">
                  <c:v>306</c:v>
                </c:pt>
                <c:pt idx="93">
                  <c:v>62</c:v>
                </c:pt>
                <c:pt idx="94">
                  <c:v>406</c:v>
                </c:pt>
                <c:pt idx="95">
                  <c:v>183</c:v>
                </c:pt>
                <c:pt idx="96">
                  <c:v>369</c:v>
                </c:pt>
                <c:pt idx="97">
                  <c:v>519</c:v>
                </c:pt>
                <c:pt idx="98">
                  <c:v>491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21709052"/>
        <c:axId val="889544782"/>
      </c:lineChart>
      <c:dateAx>
        <c:axId val="921709052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0" forceAA="0"/>
          <a:lstStyle/>
          <a:p>
            <a:pPr>
              <a:defRPr lang="en-US" sz="1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889544782"/>
        <c:crosses val="autoZero"/>
        <c:auto val="1"/>
        <c:lblAlgn val="ctr"/>
        <c:lblOffset val="100"/>
        <c:baseTimeUnit val="days"/>
      </c:dateAx>
      <c:valAx>
        <c:axId val="88954478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9217090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134db1d-3342-4433-b0ea-336a44ace8b4}"/>
      </c:ext>
    </c:extLst>
  </c:chart>
  <c:spPr>
    <a:solidFill>
      <a:schemeClr val="accent5">
        <a:lumMod val="5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7" Type="http://schemas.openxmlformats.org/officeDocument/2006/relationships/chart" Target="../charts/chart11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508000</xdr:colOff>
      <xdr:row>3</xdr:row>
      <xdr:rowOff>92075</xdr:rowOff>
    </xdr:from>
    <xdr:to>
      <xdr:col>11</xdr:col>
      <xdr:colOff>457200</xdr:colOff>
      <xdr:row>17</xdr:row>
      <xdr:rowOff>168275</xdr:rowOff>
    </xdr:to>
    <xdr:graphicFrame>
      <xdr:nvGraphicFramePr>
        <xdr:cNvPr id="2" name="Chart 1"/>
        <xdr:cNvGraphicFramePr/>
      </xdr:nvGraphicFramePr>
      <xdr:xfrm>
        <a:off x="3660775" y="6635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488950</xdr:colOff>
      <xdr:row>3</xdr:row>
      <xdr:rowOff>44450</xdr:rowOff>
    </xdr:from>
    <xdr:to>
      <xdr:col>10</xdr:col>
      <xdr:colOff>438150</xdr:colOff>
      <xdr:row>17</xdr:row>
      <xdr:rowOff>120650</xdr:rowOff>
    </xdr:to>
    <xdr:graphicFrame>
      <xdr:nvGraphicFramePr>
        <xdr:cNvPr id="2" name="Chart 1"/>
        <xdr:cNvGraphicFramePr/>
      </xdr:nvGraphicFramePr>
      <xdr:xfrm>
        <a:off x="3136900" y="6159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127000</xdr:colOff>
      <xdr:row>4</xdr:row>
      <xdr:rowOff>22225</xdr:rowOff>
    </xdr:from>
    <xdr:to>
      <xdr:col>9</xdr:col>
      <xdr:colOff>542290</xdr:colOff>
      <xdr:row>19</xdr:row>
      <xdr:rowOff>22225</xdr:rowOff>
    </xdr:to>
    <xdr:graphicFrame>
      <xdr:nvGraphicFramePr>
        <xdr:cNvPr id="2" name="Chart 1"/>
        <xdr:cNvGraphicFramePr/>
      </xdr:nvGraphicFramePr>
      <xdr:xfrm>
        <a:off x="2117725" y="784225"/>
        <a:ext cx="4682490" cy="2857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203200</xdr:colOff>
      <xdr:row>4</xdr:row>
      <xdr:rowOff>101600</xdr:rowOff>
    </xdr:from>
    <xdr:to>
      <xdr:col>12</xdr:col>
      <xdr:colOff>352425</xdr:colOff>
      <xdr:row>18</xdr:row>
      <xdr:rowOff>177800</xdr:rowOff>
    </xdr:to>
    <xdr:graphicFrame>
      <xdr:nvGraphicFramePr>
        <xdr:cNvPr id="2" name="Chart 1"/>
        <xdr:cNvGraphicFramePr/>
      </xdr:nvGraphicFramePr>
      <xdr:xfrm>
        <a:off x="3536950" y="863600"/>
        <a:ext cx="563562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225425</xdr:colOff>
      <xdr:row>12</xdr:row>
      <xdr:rowOff>124460</xdr:rowOff>
    </xdr:from>
    <xdr:to>
      <xdr:col>24</xdr:col>
      <xdr:colOff>447675</xdr:colOff>
      <xdr:row>30</xdr:row>
      <xdr:rowOff>172720</xdr:rowOff>
    </xdr:to>
    <xdr:graphicFrame>
      <xdr:nvGraphicFramePr>
        <xdr:cNvPr id="14" name="Chart 13"/>
        <xdr:cNvGraphicFramePr/>
      </xdr:nvGraphicFramePr>
      <xdr:xfrm>
        <a:off x="8150225" y="2410460"/>
        <a:ext cx="6927850" cy="3477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337820</xdr:colOff>
      <xdr:row>16</xdr:row>
      <xdr:rowOff>60325</xdr:rowOff>
    </xdr:from>
    <xdr:to>
      <xdr:col>4</xdr:col>
      <xdr:colOff>68580</xdr:colOff>
      <xdr:row>18</xdr:row>
      <xdr:rowOff>145415</xdr:rowOff>
    </xdr:to>
    <xdr:sp>
      <xdr:nvSpPr>
        <xdr:cNvPr id="28" name="Text Box 27"/>
        <xdr:cNvSpPr txBox="1"/>
      </xdr:nvSpPr>
      <xdr:spPr>
        <a:xfrm>
          <a:off x="947420" y="3108325"/>
          <a:ext cx="1559560" cy="46609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accent5">
                  <a:lumMod val="40000"/>
                  <a:lumOff val="60000"/>
                </a:schemeClr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ctr"/>
          <a:r>
            <a:rPr lang="en-IN" altLang="en-US" sz="2800" b="1">
              <a:ln>
                <a:noFill/>
              </a:ln>
              <a:solidFill>
                <a:schemeClr val="accent1">
                  <a:lumMod val="20000"/>
                  <a:lumOff val="80000"/>
                </a:schemeClr>
              </a:solidFill>
            </a:rPr>
            <a:t>132.39</a:t>
          </a:r>
          <a:endParaRPr lang="en-IN" altLang="en-US" sz="2800" b="1">
            <a:ln>
              <a:noFill/>
            </a:ln>
            <a:solidFill>
              <a:schemeClr val="accent1">
                <a:lumMod val="20000"/>
                <a:lumOff val="80000"/>
              </a:schemeClr>
            </a:solidFill>
          </a:endParaRPr>
        </a:p>
      </xdr:txBody>
    </xdr:sp>
    <xdr:clientData/>
  </xdr:twoCellAnchor>
  <xdr:twoCellAnchor>
    <xdr:from>
      <xdr:col>2</xdr:col>
      <xdr:colOff>60960</xdr:colOff>
      <xdr:row>12</xdr:row>
      <xdr:rowOff>121920</xdr:rowOff>
    </xdr:from>
    <xdr:to>
      <xdr:col>13</xdr:col>
      <xdr:colOff>64770</xdr:colOff>
      <xdr:row>30</xdr:row>
      <xdr:rowOff>181610</xdr:rowOff>
    </xdr:to>
    <xdr:graphicFrame>
      <xdr:nvGraphicFramePr>
        <xdr:cNvPr id="6" name="Chart 5"/>
        <xdr:cNvGraphicFramePr/>
      </xdr:nvGraphicFramePr>
      <xdr:xfrm>
        <a:off x="1280160" y="2407920"/>
        <a:ext cx="6709410" cy="34886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36195</xdr:colOff>
      <xdr:row>31</xdr:row>
      <xdr:rowOff>103505</xdr:rowOff>
    </xdr:from>
    <xdr:to>
      <xdr:col>13</xdr:col>
      <xdr:colOff>55880</xdr:colOff>
      <xdr:row>51</xdr:row>
      <xdr:rowOff>177800</xdr:rowOff>
    </xdr:to>
    <xdr:graphicFrame>
      <xdr:nvGraphicFramePr>
        <xdr:cNvPr id="7" name="Chart 6"/>
        <xdr:cNvGraphicFramePr/>
      </xdr:nvGraphicFramePr>
      <xdr:xfrm>
        <a:off x="1255395" y="6009005"/>
        <a:ext cx="6725285" cy="3884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24</xdr:col>
      <xdr:colOff>535305</xdr:colOff>
      <xdr:row>3</xdr:row>
      <xdr:rowOff>154305</xdr:rowOff>
    </xdr:from>
    <xdr:to>
      <xdr:col>29</xdr:col>
      <xdr:colOff>367665</xdr:colOff>
      <xdr:row>12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65705" y="725805"/>
              <a:ext cx="2880360" cy="15601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535305</xdr:colOff>
      <xdr:row>12</xdr:row>
      <xdr:rowOff>123825</xdr:rowOff>
    </xdr:from>
    <xdr:to>
      <xdr:col>29</xdr:col>
      <xdr:colOff>369570</xdr:colOff>
      <xdr:row>30</xdr:row>
      <xdr:rowOff>125095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nag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nag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65705" y="2409825"/>
              <a:ext cx="2882265" cy="34302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507365</xdr:colOff>
      <xdr:row>3</xdr:row>
      <xdr:rowOff>161290</xdr:rowOff>
    </xdr:from>
    <xdr:to>
      <xdr:col>24</xdr:col>
      <xdr:colOff>417830</xdr:colOff>
      <xdr:row>12</xdr:row>
      <xdr:rowOff>5715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Gend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99365" y="732790"/>
              <a:ext cx="2348865" cy="15589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16</xdr:col>
      <xdr:colOff>107315</xdr:colOff>
      <xdr:row>3</xdr:row>
      <xdr:rowOff>166370</xdr:rowOff>
    </xdr:from>
    <xdr:to>
      <xdr:col>20</xdr:col>
      <xdr:colOff>403860</xdr:colOff>
      <xdr:row>12</xdr:row>
      <xdr:rowOff>27305</xdr:rowOff>
    </xdr:to>
    <xdr:sp>
      <xdr:nvSpPr>
        <xdr:cNvPr id="10" name="Rectangles 9"/>
        <xdr:cNvSpPr/>
      </xdr:nvSpPr>
      <xdr:spPr>
        <a:xfrm>
          <a:off x="9860915" y="737870"/>
          <a:ext cx="2734945" cy="1575435"/>
        </a:xfrm>
        <a:prstGeom prst="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IN" altLang="en-US" sz="2400" b="1" u="sng"/>
            <a:t>Total Cost</a:t>
          </a:r>
          <a:endParaRPr lang="en-IN" altLang="en-US" sz="2200"/>
        </a:p>
        <a:p>
          <a:pPr algn="ctr"/>
          <a:r>
            <a:rPr lang="en-IN" altLang="en-US" sz="2800" b="1"/>
            <a:t>$3,371,078</a:t>
          </a:r>
          <a:endParaRPr lang="en-IN" altLang="en-US" sz="2800" b="1"/>
        </a:p>
      </xdr:txBody>
    </xdr:sp>
    <xdr:clientData/>
  </xdr:twoCellAnchor>
  <xdr:twoCellAnchor>
    <xdr:from>
      <xdr:col>2</xdr:col>
      <xdr:colOff>114300</xdr:colOff>
      <xdr:row>3</xdr:row>
      <xdr:rowOff>189865</xdr:rowOff>
    </xdr:from>
    <xdr:to>
      <xdr:col>6</xdr:col>
      <xdr:colOff>427990</xdr:colOff>
      <xdr:row>12</xdr:row>
      <xdr:rowOff>68580</xdr:rowOff>
    </xdr:to>
    <xdr:sp>
      <xdr:nvSpPr>
        <xdr:cNvPr id="11" name="Rectangles 10"/>
        <xdr:cNvSpPr/>
      </xdr:nvSpPr>
      <xdr:spPr>
        <a:xfrm>
          <a:off x="1333500" y="761365"/>
          <a:ext cx="2752090" cy="1593215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2400" b="1" u="sng"/>
            <a:t>Number Of Task</a:t>
          </a:r>
          <a:endParaRPr lang="en-IN" altLang="en-US" sz="2200"/>
        </a:p>
        <a:p>
          <a:pPr algn="ctr"/>
          <a:r>
            <a:rPr lang="en-IN" altLang="en-US" sz="2800" b="1"/>
            <a:t>120</a:t>
          </a:r>
          <a:endParaRPr lang="en-IN" altLang="en-US" sz="2800" b="1"/>
        </a:p>
      </xdr:txBody>
    </xdr:sp>
    <xdr:clientData/>
  </xdr:twoCellAnchor>
  <xdr:twoCellAnchor>
    <xdr:from>
      <xdr:col>6</xdr:col>
      <xdr:colOff>521335</xdr:colOff>
      <xdr:row>3</xdr:row>
      <xdr:rowOff>178435</xdr:rowOff>
    </xdr:from>
    <xdr:to>
      <xdr:col>11</xdr:col>
      <xdr:colOff>227330</xdr:colOff>
      <xdr:row>12</xdr:row>
      <xdr:rowOff>55880</xdr:rowOff>
    </xdr:to>
    <xdr:sp>
      <xdr:nvSpPr>
        <xdr:cNvPr id="12" name="Rectangles 11"/>
        <xdr:cNvSpPr/>
      </xdr:nvSpPr>
      <xdr:spPr>
        <a:xfrm>
          <a:off x="4178935" y="749935"/>
          <a:ext cx="2753995" cy="159194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2400" b="1" u="sng"/>
            <a:t>Unit Produced</a:t>
          </a:r>
          <a:endParaRPr lang="en-IN" altLang="en-US" sz="2200"/>
        </a:p>
        <a:p>
          <a:pPr algn="ctr"/>
          <a:r>
            <a:rPr lang="en-IN" altLang="en-US" sz="2800" b="1"/>
            <a:t>34,727</a:t>
          </a:r>
          <a:endParaRPr lang="en-IN" altLang="en-US" sz="2200"/>
        </a:p>
        <a:p>
          <a:pPr algn="ctr"/>
          <a:endParaRPr lang="en-IN" altLang="en-US" sz="2200"/>
        </a:p>
      </xdr:txBody>
    </xdr:sp>
    <xdr:clientData/>
  </xdr:twoCellAnchor>
  <xdr:twoCellAnchor>
    <xdr:from>
      <xdr:col>11</xdr:col>
      <xdr:colOff>316230</xdr:colOff>
      <xdr:row>3</xdr:row>
      <xdr:rowOff>167005</xdr:rowOff>
    </xdr:from>
    <xdr:to>
      <xdr:col>16</xdr:col>
      <xdr:colOff>39370</xdr:colOff>
      <xdr:row>12</xdr:row>
      <xdr:rowOff>44450</xdr:rowOff>
    </xdr:to>
    <xdr:sp>
      <xdr:nvSpPr>
        <xdr:cNvPr id="13" name="Rectangles 12"/>
        <xdr:cNvSpPr/>
      </xdr:nvSpPr>
      <xdr:spPr>
        <a:xfrm>
          <a:off x="7021830" y="738505"/>
          <a:ext cx="2771140" cy="1591945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IN" altLang="en-US" sz="2400" b="1" u="sng"/>
            <a:t>Avg.Product Cost</a:t>
          </a:r>
          <a:endParaRPr lang="en-IN" altLang="en-US" sz="2200"/>
        </a:p>
        <a:p>
          <a:pPr algn="ctr"/>
          <a:r>
            <a:rPr lang="en-IN" altLang="en-US" sz="2800" b="1"/>
            <a:t>$160.901</a:t>
          </a:r>
          <a:endParaRPr lang="en-IN" altLang="en-US" sz="2800" b="1"/>
        </a:p>
      </xdr:txBody>
    </xdr:sp>
    <xdr:clientData/>
  </xdr:twoCellAnchor>
  <xdr:twoCellAnchor>
    <xdr:from>
      <xdr:col>2</xdr:col>
      <xdr:colOff>82550</xdr:colOff>
      <xdr:row>8</xdr:row>
      <xdr:rowOff>69850</xdr:rowOff>
    </xdr:from>
    <xdr:to>
      <xdr:col>6</xdr:col>
      <xdr:colOff>443865</xdr:colOff>
      <xdr:row>12</xdr:row>
      <xdr:rowOff>76200</xdr:rowOff>
    </xdr:to>
    <xdr:graphicFrame>
      <xdr:nvGraphicFramePr>
        <xdr:cNvPr id="16" name="Chart 15"/>
        <xdr:cNvGraphicFramePr/>
      </xdr:nvGraphicFramePr>
      <xdr:xfrm>
        <a:off x="1301750" y="1593850"/>
        <a:ext cx="2799715" cy="768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497205</xdr:colOff>
      <xdr:row>8</xdr:row>
      <xdr:rowOff>34290</xdr:rowOff>
    </xdr:from>
    <xdr:to>
      <xdr:col>11</xdr:col>
      <xdr:colOff>292100</xdr:colOff>
      <xdr:row>12</xdr:row>
      <xdr:rowOff>60325</xdr:rowOff>
    </xdr:to>
    <xdr:graphicFrame>
      <xdr:nvGraphicFramePr>
        <xdr:cNvPr id="17" name="Chart 16"/>
        <xdr:cNvGraphicFramePr/>
      </xdr:nvGraphicFramePr>
      <xdr:xfrm>
        <a:off x="4154805" y="1558290"/>
        <a:ext cx="2842895" cy="788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296545</xdr:colOff>
      <xdr:row>8</xdr:row>
      <xdr:rowOff>51435</xdr:rowOff>
    </xdr:from>
    <xdr:to>
      <xdr:col>16</xdr:col>
      <xdr:colOff>100330</xdr:colOff>
      <xdr:row>12</xdr:row>
      <xdr:rowOff>53975</xdr:rowOff>
    </xdr:to>
    <xdr:graphicFrame>
      <xdr:nvGraphicFramePr>
        <xdr:cNvPr id="18" name="Chart 17"/>
        <xdr:cNvGraphicFramePr/>
      </xdr:nvGraphicFramePr>
      <xdr:xfrm>
        <a:off x="7002145" y="1575435"/>
        <a:ext cx="2851785" cy="764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101600</xdr:colOff>
      <xdr:row>8</xdr:row>
      <xdr:rowOff>34290</xdr:rowOff>
    </xdr:from>
    <xdr:to>
      <xdr:col>20</xdr:col>
      <xdr:colOff>454660</xdr:colOff>
      <xdr:row>12</xdr:row>
      <xdr:rowOff>62865</xdr:rowOff>
    </xdr:to>
    <xdr:graphicFrame>
      <xdr:nvGraphicFramePr>
        <xdr:cNvPr id="22" name="Chart 21"/>
        <xdr:cNvGraphicFramePr/>
      </xdr:nvGraphicFramePr>
      <xdr:xfrm>
        <a:off x="9855200" y="1558290"/>
        <a:ext cx="279146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147955</xdr:colOff>
      <xdr:row>0</xdr:row>
      <xdr:rowOff>9525</xdr:rowOff>
    </xdr:from>
    <xdr:to>
      <xdr:col>29</xdr:col>
      <xdr:colOff>337185</xdr:colOff>
      <xdr:row>3</xdr:row>
      <xdr:rowOff>78740</xdr:rowOff>
    </xdr:to>
    <xdr:sp>
      <xdr:nvSpPr>
        <xdr:cNvPr id="23" name="Text Box 22"/>
        <xdr:cNvSpPr txBox="1"/>
      </xdr:nvSpPr>
      <xdr:spPr>
        <a:xfrm>
          <a:off x="1367155" y="9525"/>
          <a:ext cx="16648430" cy="6407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p>
          <a:pPr algn="ctr"/>
          <a:r>
            <a:rPr lang="en-IN" altLang="en-US" sz="3600" b="1">
              <a:solidFill>
                <a:schemeClr val="tx1">
                  <a:lumMod val="75000"/>
                  <a:lumOff val="25000"/>
                </a:schemeClr>
              </a:solidFill>
            </a:rPr>
            <a:t>Product Performance &amp; Cost Analysis Dashboard</a:t>
          </a:r>
          <a:endParaRPr lang="en-IN" altLang="en-US" sz="36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13</xdr:col>
      <xdr:colOff>188595</xdr:colOff>
      <xdr:row>31</xdr:row>
      <xdr:rowOff>103505</xdr:rowOff>
    </xdr:from>
    <xdr:to>
      <xdr:col>29</xdr:col>
      <xdr:colOff>377190</xdr:colOff>
      <xdr:row>51</xdr:row>
      <xdr:rowOff>180975</xdr:rowOff>
    </xdr:to>
    <xdr:graphicFrame>
      <xdr:nvGraphicFramePr>
        <xdr:cNvPr id="24" name="Chart 23"/>
        <xdr:cNvGraphicFramePr/>
      </xdr:nvGraphicFramePr>
      <xdr:xfrm>
        <a:off x="8113395" y="6009005"/>
        <a:ext cx="9942195" cy="3887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183515</xdr:colOff>
      <xdr:row>6</xdr:row>
      <xdr:rowOff>180340</xdr:rowOff>
    </xdr:from>
    <xdr:to>
      <xdr:col>3</xdr:col>
      <xdr:colOff>514985</xdr:colOff>
      <xdr:row>8</xdr:row>
      <xdr:rowOff>7620</xdr:rowOff>
    </xdr:to>
    <xdr:sp>
      <xdr:nvSpPr>
        <xdr:cNvPr id="2" name="Flowchart: Merge 1"/>
        <xdr:cNvSpPr/>
      </xdr:nvSpPr>
      <xdr:spPr>
        <a:xfrm>
          <a:off x="2012315" y="1323340"/>
          <a:ext cx="331470" cy="208280"/>
        </a:xfrm>
        <a:prstGeom prst="flowChartMerge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12</xdr:col>
      <xdr:colOff>38735</xdr:colOff>
      <xdr:row>6</xdr:row>
      <xdr:rowOff>174625</xdr:rowOff>
    </xdr:from>
    <xdr:to>
      <xdr:col>12</xdr:col>
      <xdr:colOff>336550</xdr:colOff>
      <xdr:row>7</xdr:row>
      <xdr:rowOff>175895</xdr:rowOff>
    </xdr:to>
    <xdr:sp>
      <xdr:nvSpPr>
        <xdr:cNvPr id="20" name="Flowchart: Merge 19"/>
        <xdr:cNvSpPr/>
      </xdr:nvSpPr>
      <xdr:spPr>
        <a:xfrm>
          <a:off x="7353935" y="1317625"/>
          <a:ext cx="297815" cy="191770"/>
        </a:xfrm>
        <a:prstGeom prst="flowChartMerge">
          <a:avLst/>
        </a:prstGeom>
        <a:solidFill>
          <a:schemeClr val="accent2">
            <a:lumMod val="75000"/>
          </a:schemeClr>
        </a:solidFill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7</xdr:col>
      <xdr:colOff>419735</xdr:colOff>
      <xdr:row>6</xdr:row>
      <xdr:rowOff>183515</xdr:rowOff>
    </xdr:from>
    <xdr:to>
      <xdr:col>8</xdr:col>
      <xdr:colOff>111760</xdr:colOff>
      <xdr:row>8</xdr:row>
      <xdr:rowOff>9525</xdr:rowOff>
    </xdr:to>
    <xdr:sp>
      <xdr:nvSpPr>
        <xdr:cNvPr id="25" name="Flowchart: Extract 24"/>
        <xdr:cNvSpPr/>
      </xdr:nvSpPr>
      <xdr:spPr>
        <a:xfrm>
          <a:off x="4686935" y="1326515"/>
          <a:ext cx="301625" cy="207010"/>
        </a:xfrm>
        <a:prstGeom prst="flowChartExtra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16</xdr:col>
      <xdr:colOff>337820</xdr:colOff>
      <xdr:row>6</xdr:row>
      <xdr:rowOff>153670</xdr:rowOff>
    </xdr:from>
    <xdr:to>
      <xdr:col>16</xdr:col>
      <xdr:colOff>603885</xdr:colOff>
      <xdr:row>7</xdr:row>
      <xdr:rowOff>170180</xdr:rowOff>
    </xdr:to>
    <xdr:sp>
      <xdr:nvSpPr>
        <xdr:cNvPr id="26" name="Flowchart: Extract 25"/>
        <xdr:cNvSpPr/>
      </xdr:nvSpPr>
      <xdr:spPr>
        <a:xfrm>
          <a:off x="10091420" y="1296670"/>
          <a:ext cx="266065" cy="207010"/>
        </a:xfrm>
        <a:prstGeom prst="flowChartExtract">
          <a:avLst/>
        </a:prstGeom>
        <a:solidFill>
          <a:schemeClr val="accent6">
            <a:lumMod val="60000"/>
            <a:lumOff val="40000"/>
          </a:schemeClr>
        </a:solidFill>
        <a:ln>
          <a:solidFill>
            <a:schemeClr val="accent6">
              <a:lumMod val="60000"/>
              <a:lumOff val="40000"/>
            </a:schemeClr>
          </a:solidFill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4.7532523148" refreshedBy="ELCOT" recordCount="120">
  <cacheSource type="worksheet">
    <worksheetSource ref="A1:K121" sheet="Production Dataset"/>
  </cacheSource>
  <cacheFields count="11">
    <cacheField name="ProductionID" numFmtId="0">
      <sharedItems containsSemiMixedTypes="0" containsString="0" containsNumber="1" containsInteger="1" minValue="1" maxValue="120" count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ProductionDate" numFmtId="180">
      <sharedItems containsSemiMixedTypes="0" containsString="0" containsNonDate="0" containsDate="1" minDate="2023-09-22T00:00:00" maxDate="2024-09-14T00:00:00" count="99">
        <d v="2024-03-29T00:00:00"/>
        <d v="2024-05-08T00:00:00"/>
        <d v="2024-07-31T00:00:00"/>
        <d v="2023-10-15T00:00:00"/>
        <d v="2024-06-06T00:00:00"/>
        <d v="2024-02-28T00:00:00"/>
        <d v="2024-06-29T00:00:00"/>
        <d v="2024-01-08T00:00:00"/>
        <d v="2023-10-18T00:00:00"/>
        <d v="2024-08-04T00:00:00"/>
        <d v="2024-02-13T00:00:00"/>
        <d v="2024-04-28T00:00:00"/>
        <d v="2024-06-22T00:00:00"/>
        <d v="2024-04-16T00:00:00"/>
        <d v="2024-01-27T00:00:00"/>
        <d v="2023-10-16T00:00:00"/>
        <d v="2024-03-30T00:00:00"/>
        <d v="2024-06-26T00:00:00"/>
        <d v="2023-11-24T00:00:00"/>
        <d v="2024-01-13T00:00:00"/>
        <d v="2024-01-03T00:00:00"/>
        <d v="2024-08-16T00:00:00"/>
        <d v="2024-01-05T00:00:00"/>
        <d v="2023-11-05T00:00:00"/>
        <d v="2024-08-26T00:00:00"/>
        <d v="2024-08-07T00:00:00"/>
        <d v="2023-12-26T00:00:00"/>
        <d v="2024-02-17T00:00:00"/>
        <d v="2023-10-01T00:00:00"/>
        <d v="2024-09-08T00:00:00"/>
        <d v="2024-03-20T00:00:00"/>
        <d v="2024-05-10T00:00:00"/>
        <d v="2023-11-21T00:00:00"/>
        <d v="2023-10-31T00:00:00"/>
        <d v="2024-03-26T00:00:00"/>
        <d v="2024-06-24T00:00:00"/>
        <d v="2024-07-16T00:00:00"/>
        <d v="2023-10-22T00:00:00"/>
        <d v="2024-04-25T00:00:00"/>
        <d v="2024-05-12T00:00:00"/>
        <d v="2023-11-22T00:00:00"/>
        <d v="2024-06-08T00:00:00"/>
        <d v="2024-06-15T00:00:00"/>
        <d v="2023-10-08T00:00:00"/>
        <d v="2023-10-29T00:00:00"/>
        <d v="2023-09-22T00:00:00"/>
        <d v="2023-11-04T00:00:00"/>
        <d v="2024-03-13T00:00:00"/>
        <d v="2023-10-17T00:00:00"/>
        <d v="2024-08-06T00:00:00"/>
        <d v="2024-09-14T00:00:00"/>
        <d v="2023-09-24T00:00:00"/>
        <d v="2024-01-01T00:00:00"/>
        <d v="2024-06-10T00:00:00"/>
        <d v="2024-03-21T00:00:00"/>
        <d v="2024-05-20T00:00:00"/>
        <d v="2024-03-27T00:00:00"/>
        <d v="2024-04-08T00:00:00"/>
        <d v="2023-11-19T00:00:00"/>
        <d v="2024-08-28T00:00:00"/>
        <d v="2023-11-02T00:00:00"/>
        <d v="2024-03-05T00:00:00"/>
        <d v="2024-08-02T00:00:00"/>
        <d v="2023-09-28T00:00:00"/>
        <d v="2024-03-06T00:00:00"/>
        <d v="2024-07-05T00:00:00"/>
        <d v="2024-09-09T00:00:00"/>
        <d v="2024-06-14T00:00:00"/>
        <d v="2024-03-18T00:00:00"/>
        <d v="2024-01-18T00:00:00"/>
        <d v="2024-01-16T00:00:00"/>
        <d v="2024-02-08T00:00:00"/>
        <d v="2024-01-14T00:00:00"/>
        <d v="2024-02-26T00:00:00"/>
        <d v="2023-12-29T00:00:00"/>
        <d v="2024-06-01T00:00:00"/>
        <d v="2024-02-07T00:00:00"/>
        <d v="2023-12-17T00:00:00"/>
        <d v="2024-05-15T00:00:00"/>
        <d v="2024-08-17T00:00:00"/>
        <d v="2024-02-25T00:00:00"/>
        <d v="2024-01-02T00:00:00"/>
        <d v="2023-12-22T00:00:00"/>
        <d v="2024-06-21T00:00:00"/>
        <d v="2024-07-24T00:00:00"/>
        <d v="2023-12-14T00:00:00"/>
        <d v="2023-11-13T00:00:00"/>
        <d v="2024-04-10T00:00:00"/>
        <d v="2024-04-30T00:00:00"/>
        <d v="2023-12-04T00:00:00"/>
        <d v="2023-11-26T00:00:00"/>
        <d v="2024-04-01T00:00:00"/>
        <d v="2024-08-23T00:00:00"/>
        <d v="2024-03-19T00:00:00"/>
        <d v="2023-11-03T00:00:00"/>
        <d v="2023-11-10T00:00:00"/>
        <d v="2024-03-23T00:00:00"/>
        <d v="2023-12-13T00:00:00"/>
        <d v="2024-03-10T00:00:00"/>
      </sharedItems>
    </cacheField>
    <cacheField name="Region" numFmtId="0">
      <sharedItems count="4">
        <s v="South"/>
        <s v="West"/>
        <s v="North"/>
        <s v="East"/>
      </sharedItems>
    </cacheField>
    <cacheField name="Manager" numFmtId="0">
      <sharedItems count="10">
        <s v="John Doe"/>
        <s v="Laura Black"/>
        <s v="Sarah Lee"/>
        <s v="Mike Brown"/>
        <s v="Jane Smith"/>
        <s v="Andrew Blue"/>
        <s v="David White"/>
        <s v="Nancy Grey"/>
        <s v="Emily Davis"/>
        <s v="Chris Green"/>
      </sharedItems>
    </cacheField>
    <cacheField name="ProductType" numFmtId="0">
      <sharedItems count="4">
        <s v="Automobiles"/>
        <s v="Furniture"/>
        <s v="Machinery"/>
        <s v="Electronics"/>
      </sharedItems>
    </cacheField>
    <cacheField name="UnitsProduced" numFmtId="0">
      <sharedItems containsSemiMixedTypes="0" containsString="0" containsNumber="1" containsInteger="1" minValue="32" maxValue="666" count="111">
        <n v="412"/>
        <n v="430"/>
        <n v="478"/>
        <n v="459"/>
        <n v="178"/>
        <n v="401"/>
        <n v="68"/>
        <n v="447"/>
        <n v="55"/>
        <n v="396"/>
        <n v="494"/>
        <n v="462"/>
        <n v="435"/>
        <n v="332"/>
        <n v="383"/>
        <n v="193"/>
        <n v="240"/>
        <n v="363"/>
        <n v="443"/>
        <n v="331"/>
        <n v="250"/>
        <n v="180"/>
        <n v="90"/>
        <n v="458"/>
        <n v="439"/>
        <n v="406"/>
        <n v="422"/>
        <n v="444"/>
        <n v="499"/>
        <n v="290"/>
        <n v="369"/>
        <n v="389"/>
        <n v="511"/>
        <n v="333"/>
        <n v="260"/>
        <n v="460"/>
        <n v="145"/>
        <n v="115"/>
        <n v="248"/>
        <n v="165"/>
        <n v="51"/>
        <n v="382"/>
        <n v="354"/>
        <n v="368"/>
        <n v="79"/>
        <n v="231"/>
        <n v="288"/>
        <n v="214"/>
        <n v="74"/>
        <n v="177"/>
        <n v="358"/>
        <n v="343"/>
        <n v="63"/>
        <n v="429"/>
        <n v="491"/>
        <n v="344"/>
        <n v="255"/>
        <n v="160"/>
        <n v="322"/>
        <n v="151"/>
        <n v="535"/>
        <n v="305"/>
        <n v="188"/>
        <n v="495"/>
        <n v="190"/>
        <n v="308"/>
        <n v="183"/>
        <n v="335"/>
        <n v="95"/>
        <n v="218"/>
        <n v="265"/>
        <n v="213"/>
        <n v="128"/>
        <n v="208"/>
        <n v="465"/>
        <n v="519"/>
        <n v="380"/>
        <n v="32"/>
        <n v="130"/>
        <n v="545"/>
        <n v="84"/>
        <n v="192"/>
        <n v="60"/>
        <n v="209"/>
        <n v="264"/>
        <n v="97"/>
        <n v="404"/>
        <n v="386"/>
        <n v="366"/>
        <n v="173"/>
        <n v="306"/>
        <n v="222"/>
        <n v="216"/>
        <n v="307"/>
        <n v="384"/>
        <n v="376"/>
        <n v="359"/>
        <n v="318"/>
        <n v="236"/>
        <n v="86"/>
        <n v="155"/>
        <n v="319"/>
        <n v="62"/>
        <n v="81"/>
        <n v="126"/>
        <n v="541"/>
        <n v="666"/>
        <n v="527"/>
        <n v="289"/>
        <n v="199"/>
        <n v="497"/>
      </sharedItems>
    </cacheField>
    <cacheField name="TotalCost" numFmtId="0">
      <sharedItems containsSemiMixedTypes="0" containsString="0" containsNumber="1" containsInteger="1" minValue="679" maxValue="76076" count="105">
        <n v="22288"/>
        <n v="66500"/>
        <n v="76076"/>
        <n v="17069"/>
        <n v="41349"/>
        <n v="19691"/>
        <n v="11696"/>
        <n v="52269"/>
        <n v="25893"/>
        <n v="38480"/>
        <n v="46767"/>
        <n v="26145"/>
        <n v="64090"/>
        <n v="679"/>
        <n v="39008"/>
        <n v="18796"/>
        <n v="65052"/>
        <n v="38232"/>
        <n v="50652"/>
        <n v="27140"/>
        <n v="11385"/>
        <n v="33684"/>
        <n v="42328"/>
        <n v="42873"/>
        <n v="31392"/>
        <n v="47880"/>
        <n v="13490"/>
        <n v="7272"/>
        <n v="48316"/>
        <n v="15132"/>
        <n v="5246"/>
        <n v="37744"/>
        <n v="48000"/>
        <n v="34680"/>
        <n v="50274"/>
        <n v="43615"/>
        <n v="14076"/>
        <n v="12870"/>
        <n v="35280"/>
        <n v="37490"/>
        <n v="46068"/>
        <n v="11078"/>
        <n v="32045"/>
        <n v="33284"/>
        <n v="11954"/>
        <n v="36708"/>
        <n v="30600"/>
        <n v="13568"/>
        <n v="33344"/>
        <n v="3960"/>
        <n v="58208"/>
        <n v="59458"/>
        <n v="13872"/>
        <n v="57706"/>
        <n v="59248"/>
        <n v="29440"/>
        <n v="8475"/>
        <n v="44330"/>
        <n v="3186"/>
        <n v="28050"/>
        <n v="16698"/>
        <n v="27956"/>
        <n v="36984"/>
        <n v="46800"/>
        <n v="7125"/>
        <n v="12320"/>
        <n v="42028"/>
        <n v="25758"/>
        <n v="34804"/>
        <n v="45312"/>
        <n v="44525"/>
        <n v="3132"/>
        <n v="16740"/>
        <n v="65250"/>
        <n v="10688"/>
        <n v="18648"/>
        <n v="5822"/>
        <n v="51221"/>
        <n v="75332"/>
        <n v="13310"/>
        <n v="47952"/>
        <n v="4984"/>
        <n v="4131"/>
        <n v="24549"/>
        <n v="35088"/>
        <n v="25254"/>
        <n v="17500"/>
        <n v="36934"/>
        <n v="40565"/>
        <n v="12753"/>
        <n v="16864"/>
        <n v="56888"/>
        <n v="31122"/>
        <n v="25853"/>
        <n v="11092"/>
        <n v="4221"/>
        <n v="31500"/>
        <n v="31414"/>
        <n v="40446"/>
        <n v="42432"/>
        <n v="64635"/>
        <n v="51168"/>
        <n v="24948"/>
        <n v="56118"/>
        <n v="46548"/>
      </sharedItems>
    </cacheField>
    <cacheField name="Gender" numFmtId="0">
      <sharedItems count="3">
        <s v="Female"/>
        <s v="Male"/>
        <s v="Unknown"/>
      </sharedItems>
    </cacheField>
    <cacheField name="True Age" numFmtId="0">
      <sharedItems containsSemiMixedTypes="0" containsString="0" containsNumber="1" containsInteger="1" minValue="25" maxValue="57" count="8">
        <n v="25"/>
        <n v="52"/>
        <n v="36"/>
        <n v="57"/>
        <n v="26"/>
        <n v="28"/>
        <n v="42"/>
        <n v="49"/>
      </sharedItems>
    </cacheField>
    <cacheField name="Age Group" numFmtId="0">
      <sharedItems count="3">
        <s v="A1"/>
        <s v="A3"/>
        <s v="A2"/>
      </sharedItems>
    </cacheField>
    <cacheField name="Production cost per unit" numFmtId="183">
      <sharedItems containsSemiMixedTypes="0" containsString="0" containsNumber="1" minValue="1.32876712328767" maxValue="1115.45098039216" count="119">
        <n v="54.0970873786408"/>
        <n v="154.651162790698"/>
        <n v="159.154811715481"/>
        <n v="37.1873638344227"/>
        <n v="232.297752808989"/>
        <n v="49.1047381546135"/>
        <n v="172"/>
        <n v="116.93288590604"/>
        <n v="470.781818181818"/>
        <n v="97.1717171717172"/>
        <n v="94.67004048583"/>
        <n v="56.5909090909091"/>
        <n v="147.333333333333"/>
        <n v="2.04518072289157"/>
        <n v="101.848563968668"/>
        <n v="97.3886010362694"/>
        <n v="271.05"/>
        <n v="105.322314049587"/>
        <n v="114.338600451467"/>
        <n v="81.9939577039275"/>
        <n v="45.54"/>
        <n v="187.133333333333"/>
        <n v="470.311111111111"/>
        <n v="93.6091703056769"/>
        <n v="71.5079726651481"/>
        <n v="117.931034482759"/>
        <n v="31.9668246445498"/>
        <n v="16.3783783783784"/>
        <n v="96.8256513026052"/>
        <n v="52.1793103448276"/>
        <n v="14.2168021680217"/>
        <n v="97.0282776349614"/>
        <n v="1.32876712328767"/>
        <n v="144.144144144144"/>
        <n v="133.384615384615"/>
        <n v="109.291304347826"/>
        <n v="300.793103448276"/>
        <n v="122.4"/>
        <n v="51.8951612903226"/>
        <n v="4.11515151515152"/>
        <n v="691.764705882353"/>
        <n v="98.1413612565445"/>
        <n v="1.9180790960452"/>
        <n v="125.184782608696"/>
        <n v="140.227848101266"/>
        <n v="138.722943722944"/>
        <n v="115.569444444444"/>
        <n v="55.8598130841121"/>
        <n v="496.054054054054"/>
        <n v="172.881355932203"/>
        <n v="37.8994413407821"/>
        <n v="97.2128279883382"/>
        <n v="62.8571428571429"/>
        <n v="135.682983682984"/>
        <n v="121.095723014257"/>
        <n v="40.3255813953488"/>
        <n v="226.298039215686"/>
        <n v="370.3"/>
        <n v="91.4285714285714"/>
        <n v="3.81460674157303"/>
        <n v="56.1258278145695"/>
        <n v="82.8598130841121"/>
        <n v="10.4459016393443"/>
        <n v="3.61170212765957"/>
        <n v="1.37171717171717"/>
        <n v="147.631578947368"/>
        <n v="32.6771037181996"/>
        <n v="90.7662337662338"/>
        <n v="3.7103825136612"/>
        <n v="110.4"/>
        <n v="492.631578947368"/>
        <n v="32.6834862385321"/>
        <n v="46.4905660377358"/>
        <n v="197.31455399061"/>
        <n v="5.3046875"/>
        <n v="123.836538461538"/>
        <n v="302.64347826087"/>
        <n v="1.46021505376344"/>
        <n v="87.3063583815029"/>
        <n v="117.171052631579"/>
        <n v="97.875"/>
        <n v="128.769230769231"/>
        <n v="119.724770642202"/>
        <n v="127.238095238095"/>
        <n v="97.125"/>
        <n v="97.0333333333333"/>
        <n v="245.076555023923"/>
        <n v="285.348484848485"/>
        <n v="7"/>
        <n v="32.9455445544554"/>
        <n v="124.227979274611"/>
        <n v="23.2897196261682"/>
        <n v="11.2868852459016"/>
        <n v="141.901734104046"/>
        <n v="2.21895424836601"/>
        <n v="274.125"/>
        <n v="68.625"/>
        <n v="78.8288288288288"/>
        <n v="170.990740740741"/>
        <n v="2.21172638436482"/>
        <n v="105.638020833333"/>
        <n v="1.80585106382979"/>
        <n v="35.5236768802228"/>
        <n v="53.0314465408805"/>
        <n v="1115.45098039216"/>
        <n v="2.8771186440678"/>
        <n v="145.429906542056"/>
        <n v="300.616279069767"/>
        <n v="71.5612903225806"/>
        <n v="13.2319749216301"/>
        <n v="508.064516129032"/>
        <n v="387.827160493827"/>
        <n v="321"/>
        <n v="78.4325323475046"/>
        <n v="97.0495495495496"/>
        <n v="97.0929791271347"/>
        <n v="86.3252595155709"/>
        <n v="282"/>
        <n v="93.6579476861167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4.7655439815" refreshedBy="ELCOT" recordCount="120">
  <cacheSource type="worksheet">
    <worksheetSource name="Table1"/>
  </cacheSource>
  <cacheFields count="14">
    <cacheField name="ProductionID" numFmtId="0">
      <sharedItems containsSemiMixedTypes="0" containsString="0" containsNumber="1" containsInteger="1" minValue="0" maxValue="120" count="1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</sharedItems>
    </cacheField>
    <cacheField name="ProductionDate" numFmtId="180">
      <sharedItems containsSemiMixedTypes="0" containsString="0" containsNonDate="0" containsDate="1" minDate="2023-09-22T00:00:00" maxDate="2024-09-14T00:00:00" count="99">
        <d v="2024-03-29T00:00:00"/>
        <d v="2024-05-08T00:00:00"/>
        <d v="2024-07-31T00:00:00"/>
        <d v="2023-10-15T00:00:00"/>
        <d v="2024-06-06T00:00:00"/>
        <d v="2024-02-28T00:00:00"/>
        <d v="2024-06-29T00:00:00"/>
        <d v="2024-01-08T00:00:00"/>
        <d v="2023-10-18T00:00:00"/>
        <d v="2024-08-04T00:00:00"/>
        <d v="2024-02-13T00:00:00"/>
        <d v="2024-04-28T00:00:00"/>
        <d v="2024-06-22T00:00:00"/>
        <d v="2024-04-16T00:00:00"/>
        <d v="2024-01-27T00:00:00"/>
        <d v="2023-10-16T00:00:00"/>
        <d v="2024-03-30T00:00:00"/>
        <d v="2024-06-26T00:00:00"/>
        <d v="2023-11-24T00:00:00"/>
        <d v="2024-01-13T00:00:00"/>
        <d v="2024-01-03T00:00:00"/>
        <d v="2024-08-16T00:00:00"/>
        <d v="2024-01-05T00:00:00"/>
        <d v="2023-11-05T00:00:00"/>
        <d v="2024-08-26T00:00:00"/>
        <d v="2024-08-07T00:00:00"/>
        <d v="2023-12-26T00:00:00"/>
        <d v="2024-02-17T00:00:00"/>
        <d v="2023-10-01T00:00:00"/>
        <d v="2024-09-08T00:00:00"/>
        <d v="2024-03-20T00:00:00"/>
        <d v="2024-05-10T00:00:00"/>
        <d v="2023-11-21T00:00:00"/>
        <d v="2023-10-31T00:00:00"/>
        <d v="2024-03-26T00:00:00"/>
        <d v="2024-06-24T00:00:00"/>
        <d v="2024-07-16T00:00:00"/>
        <d v="2023-10-22T00:00:00"/>
        <d v="2024-04-25T00:00:00"/>
        <d v="2024-05-12T00:00:00"/>
        <d v="2023-11-22T00:00:00"/>
        <d v="2024-06-08T00:00:00"/>
        <d v="2024-06-15T00:00:00"/>
        <d v="2023-10-08T00:00:00"/>
        <d v="2023-10-29T00:00:00"/>
        <d v="2023-09-22T00:00:00"/>
        <d v="2023-11-04T00:00:00"/>
        <d v="2024-03-13T00:00:00"/>
        <d v="2023-10-17T00:00:00"/>
        <d v="2024-08-06T00:00:00"/>
        <d v="2024-09-14T00:00:00"/>
        <d v="2023-09-24T00:00:00"/>
        <d v="2024-01-01T00:00:00"/>
        <d v="2024-06-10T00:00:00"/>
        <d v="2024-03-21T00:00:00"/>
        <d v="2024-05-20T00:00:00"/>
        <d v="2024-03-27T00:00:00"/>
        <d v="2024-04-08T00:00:00"/>
        <d v="2023-11-19T00:00:00"/>
        <d v="2024-08-28T00:00:00"/>
        <d v="2023-11-02T00:00:00"/>
        <d v="2024-03-05T00:00:00"/>
        <d v="2024-08-02T00:00:00"/>
        <d v="2023-09-28T00:00:00"/>
        <d v="2024-03-06T00:00:00"/>
        <d v="2024-07-05T00:00:00"/>
        <d v="2024-09-09T00:00:00"/>
        <d v="2024-06-14T00:00:00"/>
        <d v="2024-03-18T00:00:00"/>
        <d v="2024-01-18T00:00:00"/>
        <d v="2024-01-16T00:00:00"/>
        <d v="2024-02-08T00:00:00"/>
        <d v="2024-01-14T00:00:00"/>
        <d v="2024-02-26T00:00:00"/>
        <d v="2023-12-29T00:00:00"/>
        <d v="2024-06-01T00:00:00"/>
        <d v="2024-02-07T00:00:00"/>
        <d v="2023-12-17T00:00:00"/>
        <d v="2024-05-15T00:00:00"/>
        <d v="2024-08-17T00:00:00"/>
        <d v="2024-02-25T00:00:00"/>
        <d v="2024-01-02T00:00:00"/>
        <d v="2023-12-22T00:00:00"/>
        <d v="2024-06-21T00:00:00"/>
        <d v="2024-07-24T00:00:00"/>
        <d v="2023-12-14T00:00:00"/>
        <d v="2023-11-13T00:00:00"/>
        <d v="2024-04-10T00:00:00"/>
        <d v="2024-04-30T00:00:00"/>
        <d v="2023-12-04T00:00:00"/>
        <d v="2023-11-26T00:00:00"/>
        <d v="2024-04-01T00:00:00"/>
        <d v="2024-08-23T00:00:00"/>
        <d v="2024-03-19T00:00:00"/>
        <d v="2023-11-03T00:00:00"/>
        <d v="2023-11-10T00:00:00"/>
        <d v="2024-03-23T00:00:00"/>
        <d v="2023-12-13T00:00:00"/>
        <d v="2024-03-10T00:00:00"/>
      </sharedItems>
    </cacheField>
    <cacheField name="Region" numFmtId="0">
      <sharedItems count="4">
        <s v="South"/>
        <s v="West"/>
        <s v="North"/>
        <s v="East"/>
      </sharedItems>
    </cacheField>
    <cacheField name="Manager" numFmtId="0">
      <sharedItems count="10">
        <s v="John Doe"/>
        <s v="Laura Black"/>
        <s v="Sarah Lee"/>
        <s v="Mike Brown"/>
        <s v="Jane Smith"/>
        <s v="Andrew Blue"/>
        <s v="David White"/>
        <s v="Nancy Grey"/>
        <s v="Emily Davis"/>
        <s v="Chris Green"/>
      </sharedItems>
    </cacheField>
    <cacheField name="ProductType" numFmtId="0">
      <sharedItems count="4">
        <s v="Automobiles"/>
        <s v="Furniture"/>
        <s v="Machinery"/>
        <s v="Electronics"/>
      </sharedItems>
    </cacheField>
    <cacheField name="UnitsProduced" numFmtId="0">
      <sharedItems containsSemiMixedTypes="0" containsString="0" containsNumber="1" containsInteger="1" minValue="0" maxValue="666" count="111">
        <n v="412"/>
        <n v="430"/>
        <n v="478"/>
        <n v="459"/>
        <n v="178"/>
        <n v="401"/>
        <n v="68"/>
        <n v="447"/>
        <n v="55"/>
        <n v="396"/>
        <n v="494"/>
        <n v="462"/>
        <n v="435"/>
        <n v="332"/>
        <n v="383"/>
        <n v="193"/>
        <n v="240"/>
        <n v="363"/>
        <n v="443"/>
        <n v="331"/>
        <n v="250"/>
        <n v="180"/>
        <n v="90"/>
        <n v="458"/>
        <n v="439"/>
        <n v="406"/>
        <n v="422"/>
        <n v="444"/>
        <n v="499"/>
        <n v="290"/>
        <n v="369"/>
        <n v="389"/>
        <n v="511"/>
        <n v="333"/>
        <n v="260"/>
        <n v="460"/>
        <n v="145"/>
        <n v="115"/>
        <n v="248"/>
        <n v="165"/>
        <n v="51"/>
        <n v="382"/>
        <n v="354"/>
        <n v="368"/>
        <n v="79"/>
        <n v="231"/>
        <n v="288"/>
        <n v="214"/>
        <n v="74"/>
        <n v="177"/>
        <n v="358"/>
        <n v="343"/>
        <n v="63"/>
        <n v="429"/>
        <n v="491"/>
        <n v="344"/>
        <n v="255"/>
        <n v="160"/>
        <n v="322"/>
        <n v="151"/>
        <n v="535"/>
        <n v="305"/>
        <n v="188"/>
        <n v="495"/>
        <n v="190"/>
        <n v="308"/>
        <n v="183"/>
        <n v="335"/>
        <n v="95"/>
        <n v="218"/>
        <n v="265"/>
        <n v="213"/>
        <n v="128"/>
        <n v="208"/>
        <n v="465"/>
        <n v="519"/>
        <n v="380"/>
        <n v="32"/>
        <n v="130"/>
        <n v="545"/>
        <n v="84"/>
        <n v="192"/>
        <n v="60"/>
        <n v="209"/>
        <n v="264"/>
        <n v="97"/>
        <n v="404"/>
        <n v="386"/>
        <n v="366"/>
        <n v="173"/>
        <n v="306"/>
        <n v="222"/>
        <n v="216"/>
        <n v="307"/>
        <n v="384"/>
        <n v="376"/>
        <n v="359"/>
        <n v="318"/>
        <n v="236"/>
        <n v="86"/>
        <n v="155"/>
        <n v="319"/>
        <n v="62"/>
        <n v="81"/>
        <n v="126"/>
        <n v="541"/>
        <n v="666"/>
        <n v="527"/>
        <n v="289"/>
        <n v="199"/>
        <n v="497"/>
      </sharedItems>
    </cacheField>
    <cacheField name="TotalCost" numFmtId="182">
      <sharedItems containsSemiMixedTypes="0" containsString="0" containsNumber="1" containsInteger="1" minValue="0" maxValue="76076" count="105">
        <n v="22288"/>
        <n v="66500"/>
        <n v="76076"/>
        <n v="17069"/>
        <n v="41349"/>
        <n v="19691"/>
        <n v="11696"/>
        <n v="52269"/>
        <n v="25893"/>
        <n v="38480"/>
        <n v="46767"/>
        <n v="26145"/>
        <n v="64090"/>
        <n v="679"/>
        <n v="39008"/>
        <n v="18796"/>
        <n v="65052"/>
        <n v="38232"/>
        <n v="50652"/>
        <n v="27140"/>
        <n v="11385"/>
        <n v="33684"/>
        <n v="42328"/>
        <n v="42873"/>
        <n v="31392"/>
        <n v="47880"/>
        <n v="13490"/>
        <n v="7272"/>
        <n v="48316"/>
        <n v="15132"/>
        <n v="5246"/>
        <n v="37744"/>
        <n v="48000"/>
        <n v="34680"/>
        <n v="50274"/>
        <n v="43615"/>
        <n v="14076"/>
        <n v="12870"/>
        <n v="35280"/>
        <n v="37490"/>
        <n v="46068"/>
        <n v="11078"/>
        <n v="32045"/>
        <n v="33284"/>
        <n v="11954"/>
        <n v="36708"/>
        <n v="30600"/>
        <n v="13568"/>
        <n v="33344"/>
        <n v="3960"/>
        <n v="58208"/>
        <n v="59458"/>
        <n v="13872"/>
        <n v="57706"/>
        <n v="59248"/>
        <n v="29440"/>
        <n v="8475"/>
        <n v="44330"/>
        <n v="3186"/>
        <n v="28050"/>
        <n v="16698"/>
        <n v="27956"/>
        <n v="36984"/>
        <n v="46800"/>
        <n v="7125"/>
        <n v="12320"/>
        <n v="42028"/>
        <n v="25758"/>
        <n v="34804"/>
        <n v="45312"/>
        <n v="44525"/>
        <n v="3132"/>
        <n v="16740"/>
        <n v="65250"/>
        <n v="10688"/>
        <n v="18648"/>
        <n v="5822"/>
        <n v="51221"/>
        <n v="75332"/>
        <n v="13310"/>
        <n v="47952"/>
        <n v="4984"/>
        <n v="4131"/>
        <n v="24549"/>
        <n v="35088"/>
        <n v="25254"/>
        <n v="17500"/>
        <n v="36934"/>
        <n v="40565"/>
        <n v="12753"/>
        <n v="16864"/>
        <n v="56888"/>
        <n v="31122"/>
        <n v="25853"/>
        <n v="11092"/>
        <n v="4221"/>
        <n v="31500"/>
        <n v="31414"/>
        <n v="40446"/>
        <n v="42432"/>
        <n v="64635"/>
        <n v="51168"/>
        <n v="24948"/>
        <n v="56118"/>
        <n v="46548"/>
      </sharedItems>
    </cacheField>
    <cacheField name="Gender" numFmtId="0">
      <sharedItems count="3">
        <s v="Female"/>
        <s v="Male"/>
        <s v="Unknown"/>
      </sharedItems>
    </cacheField>
    <cacheField name="True Age" numFmtId="0">
      <sharedItems containsSemiMixedTypes="0" containsString="0" containsNumber="1" containsInteger="1" minValue="0" maxValue="57" count="8">
        <n v="25"/>
        <n v="52"/>
        <n v="36"/>
        <n v="57"/>
        <n v="26"/>
        <n v="28"/>
        <n v="42"/>
        <n v="49"/>
      </sharedItems>
    </cacheField>
    <cacheField name="Age Group" numFmtId="0">
      <sharedItems count="3">
        <s v="A1"/>
        <s v="A3"/>
        <s v="A2"/>
      </sharedItems>
    </cacheField>
    <cacheField name="Production cost per unit" numFmtId="183">
      <sharedItems containsSemiMixedTypes="0" containsString="0" containsNumber="1" minValue="0" maxValue="1115.45098039216" count="119">
        <n v="54.0970873786408"/>
        <n v="154.651162790698"/>
        <n v="159.154811715481"/>
        <n v="37.1873638344227"/>
        <n v="232.297752808989"/>
        <n v="49.1047381546135"/>
        <n v="172"/>
        <n v="116.93288590604"/>
        <n v="470.781818181818"/>
        <n v="97.1717171717172"/>
        <n v="94.67004048583"/>
        <n v="56.5909090909091"/>
        <n v="147.333333333333"/>
        <n v="2.04518072289157"/>
        <n v="101.848563968668"/>
        <n v="97.3886010362694"/>
        <n v="271.05"/>
        <n v="105.322314049587"/>
        <n v="114.338600451467"/>
        <n v="81.9939577039275"/>
        <n v="45.54"/>
        <n v="187.133333333333"/>
        <n v="470.311111111111"/>
        <n v="93.6091703056769"/>
        <n v="71.5079726651481"/>
        <n v="117.931034482759"/>
        <n v="31.9668246445498"/>
        <n v="16.3783783783784"/>
        <n v="96.8256513026052"/>
        <n v="52.1793103448276"/>
        <n v="14.2168021680217"/>
        <n v="97.0282776349614"/>
        <n v="1.32876712328767"/>
        <n v="144.144144144144"/>
        <n v="133.384615384615"/>
        <n v="109.291304347826"/>
        <n v="300.793103448276"/>
        <n v="122.4"/>
        <n v="51.8951612903226"/>
        <n v="4.11515151515152"/>
        <n v="691.764705882353"/>
        <n v="98.1413612565445"/>
        <n v="1.9180790960452"/>
        <n v="125.184782608696"/>
        <n v="140.227848101266"/>
        <n v="138.722943722944"/>
        <n v="115.569444444444"/>
        <n v="55.8598130841122"/>
        <n v="496.054054054054"/>
        <n v="172.881355932203"/>
        <n v="37.8994413407821"/>
        <n v="97.2128279883382"/>
        <n v="62.8571428571429"/>
        <n v="135.682983682984"/>
        <n v="121.095723014257"/>
        <n v="40.3255813953488"/>
        <n v="226.298039215686"/>
        <n v="370.3"/>
        <n v="91.4285714285714"/>
        <n v="3.81460674157303"/>
        <n v="56.1258278145695"/>
        <n v="82.8598130841122"/>
        <n v="10.4459016393443"/>
        <n v="3.61170212765957"/>
        <n v="1.37171717171717"/>
        <n v="147.631578947368"/>
        <n v="32.6771037181996"/>
        <n v="90.7662337662338"/>
        <n v="3.7103825136612"/>
        <n v="110.4"/>
        <n v="492.631578947368"/>
        <n v="32.6834862385321"/>
        <n v="46.4905660377358"/>
        <n v="197.31455399061"/>
        <n v="5.3046875"/>
        <n v="123.836538461538"/>
        <n v="302.64347826087"/>
        <n v="1.46021505376344"/>
        <n v="87.3063583815029"/>
        <n v="117.171052631579"/>
        <n v="97.875"/>
        <n v="128.769230769231"/>
        <n v="119.724770642202"/>
        <n v="127.238095238095"/>
        <n v="97.125"/>
        <n v="97.0333333333333"/>
        <n v="245.076555023923"/>
        <n v="285.348484848485"/>
        <n v="7"/>
        <n v="32.9455445544554"/>
        <n v="124.227979274611"/>
        <n v="23.2897196261682"/>
        <n v="11.2868852459016"/>
        <n v="141.901734104046"/>
        <n v="2.21895424836601"/>
        <n v="274.125"/>
        <n v="68.625"/>
        <n v="78.8288288288288"/>
        <n v="170.990740740741"/>
        <n v="2.21172638436482"/>
        <n v="105.638020833333"/>
        <n v="1.80585106382979"/>
        <n v="35.5236768802228"/>
        <n v="53.0314465408805"/>
        <n v="1115.45098039216"/>
        <n v="2.8771186440678"/>
        <n v="145.429906542056"/>
        <n v="300.616279069767"/>
        <n v="71.5612903225807"/>
        <n v="13.2319749216301"/>
        <n v="508.064516129032"/>
        <n v="387.827160493827"/>
        <n v="321"/>
        <n v="78.4325323475046"/>
        <n v="97.0495495495496"/>
        <n v="97.0929791271347"/>
        <n v="86.3252595155709"/>
        <n v="282"/>
        <n v="93.6579476861167"/>
      </sharedItems>
    </cacheField>
    <cacheField name="Cost Per Unit" numFmtId="0">
      <sharedItems containsSemiMixedTypes="0" containsString="0" containsNumber="1" minValue="0" maxValue="1115.45098039216" count="119">
        <n v="54.0970873786408"/>
        <n v="154.651162790698"/>
        <n v="159.154811715481"/>
        <n v="37.1873638344227"/>
        <n v="232.297752808989"/>
        <n v="49.1047381546135"/>
        <n v="172"/>
        <n v="116.93288590604"/>
        <n v="470.781818181818"/>
        <n v="97.1717171717172"/>
        <n v="94.67004048583"/>
        <n v="56.5909090909091"/>
        <n v="147.333333333333"/>
        <n v="2.04518072289157"/>
        <n v="101.848563968668"/>
        <n v="97.3886010362694"/>
        <n v="271.05"/>
        <n v="105.322314049587"/>
        <n v="114.338600451467"/>
        <n v="81.9939577039275"/>
        <n v="45.54"/>
        <n v="187.133333333333"/>
        <n v="470.311111111111"/>
        <n v="93.6091703056769"/>
        <n v="71.5079726651481"/>
        <n v="117.931034482759"/>
        <n v="31.9668246445498"/>
        <n v="16.3783783783784"/>
        <n v="96.8256513026052"/>
        <n v="52.1793103448276"/>
        <n v="14.2168021680217"/>
        <n v="97.0282776349614"/>
        <n v="1.32876712328767"/>
        <n v="144.144144144144"/>
        <n v="133.384615384615"/>
        <n v="109.291304347826"/>
        <n v="300.793103448276"/>
        <n v="122.4"/>
        <n v="51.8951612903226"/>
        <n v="4.11515151515152"/>
        <n v="691.764705882353"/>
        <n v="98.1413612565445"/>
        <n v="1.9180790960452"/>
        <n v="125.184782608696"/>
        <n v="140.227848101266"/>
        <n v="138.722943722944"/>
        <n v="115.569444444444"/>
        <n v="55.8598130841122"/>
        <n v="496.054054054054"/>
        <n v="172.881355932203"/>
        <n v="37.8994413407821"/>
        <n v="97.2128279883382"/>
        <n v="62.8571428571429"/>
        <n v="135.682983682984"/>
        <n v="121.095723014257"/>
        <n v="40.3255813953488"/>
        <n v="226.298039215686"/>
        <n v="370.3"/>
        <n v="91.4285714285714"/>
        <n v="3.81460674157303"/>
        <n v="56.1258278145695"/>
        <n v="82.8598130841122"/>
        <n v="10.4459016393443"/>
        <n v="3.61170212765957"/>
        <n v="1.37171717171717"/>
        <n v="147.631578947368"/>
        <n v="32.6771037181996"/>
        <n v="90.7662337662338"/>
        <n v="3.7103825136612"/>
        <n v="110.4"/>
        <n v="492.631578947368"/>
        <n v="32.6834862385321"/>
        <n v="46.4905660377358"/>
        <n v="197.31455399061"/>
        <n v="5.3046875"/>
        <n v="123.836538461538"/>
        <n v="302.64347826087"/>
        <n v="1.46021505376344"/>
        <n v="87.3063583815029"/>
        <n v="117.171052631579"/>
        <n v="97.875"/>
        <n v="128.769230769231"/>
        <n v="119.724770642202"/>
        <n v="127.238095238095"/>
        <n v="97.125"/>
        <n v="97.0333333333333"/>
        <n v="245.076555023923"/>
        <n v="285.348484848485"/>
        <n v="7"/>
        <n v="32.9455445544554"/>
        <n v="124.227979274611"/>
        <n v="23.2897196261682"/>
        <n v="11.2868852459016"/>
        <n v="141.901734104046"/>
        <n v="2.21895424836601"/>
        <n v="274.125"/>
        <n v="68.625"/>
        <n v="78.8288288288288"/>
        <n v="170.990740740741"/>
        <n v="2.21172638436482"/>
        <n v="105.638020833333"/>
        <n v="1.80585106382979"/>
        <n v="35.5236768802228"/>
        <n v="53.0314465408805"/>
        <n v="1115.45098039216"/>
        <n v="2.8771186440678"/>
        <n v="145.429906542056"/>
        <n v="300.616279069767"/>
        <n v="71.5612903225807"/>
        <n v="13.2319749216301"/>
        <n v="508.064516129032"/>
        <n v="387.827160493827"/>
        <n v="321"/>
        <n v="78.4325323475046"/>
        <n v="97.0495495495496"/>
        <n v="97.0929791271347"/>
        <n v="86.3252595155709"/>
        <n v="282"/>
        <n v="93.6579476861167"/>
      </sharedItems>
    </cacheField>
    <cacheField name="Year" numFmtId="0">
      <sharedItems containsSemiMixedTypes="0" containsString="0" containsNumber="1" containsInteger="1" minValue="0" maxValue="2024" count="2">
        <n v="2024"/>
        <n v="2023"/>
      </sharedItems>
    </cacheField>
    <cacheField name="Month_Year" numFmtId="0">
      <sharedItems count="13">
        <s v="Mar-2024"/>
        <s v="May-2024"/>
        <s v="Jul-2024"/>
        <s v="Oct-2023"/>
        <s v="Jun-2024"/>
        <s v="Feb-2024"/>
        <s v="Jan-2024"/>
        <s v="Aug-2024"/>
        <s v="Apr-2024"/>
        <s v="Nov-2023"/>
        <s v="Dec-2023"/>
        <s v="Sep-2024"/>
        <s v="Sep-202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</r>
  <r>
    <x v="2"/>
    <x v="2"/>
    <x v="2"/>
    <x v="2"/>
    <x v="2"/>
    <x v="2"/>
    <x v="2"/>
    <x v="1"/>
    <x v="2"/>
    <x v="2"/>
    <x v="2"/>
  </r>
  <r>
    <x v="3"/>
    <x v="3"/>
    <x v="1"/>
    <x v="3"/>
    <x v="2"/>
    <x v="3"/>
    <x v="3"/>
    <x v="2"/>
    <x v="3"/>
    <x v="1"/>
    <x v="3"/>
  </r>
  <r>
    <x v="4"/>
    <x v="4"/>
    <x v="0"/>
    <x v="4"/>
    <x v="2"/>
    <x v="4"/>
    <x v="4"/>
    <x v="1"/>
    <x v="4"/>
    <x v="0"/>
    <x v="4"/>
  </r>
  <r>
    <x v="5"/>
    <x v="5"/>
    <x v="1"/>
    <x v="4"/>
    <x v="2"/>
    <x v="5"/>
    <x v="5"/>
    <x v="1"/>
    <x v="4"/>
    <x v="0"/>
    <x v="5"/>
  </r>
  <r>
    <x v="6"/>
    <x v="6"/>
    <x v="1"/>
    <x v="5"/>
    <x v="2"/>
    <x v="6"/>
    <x v="6"/>
    <x v="1"/>
    <x v="5"/>
    <x v="0"/>
    <x v="6"/>
  </r>
  <r>
    <x v="7"/>
    <x v="7"/>
    <x v="1"/>
    <x v="6"/>
    <x v="3"/>
    <x v="7"/>
    <x v="7"/>
    <x v="1"/>
    <x v="5"/>
    <x v="0"/>
    <x v="7"/>
  </r>
  <r>
    <x v="8"/>
    <x v="8"/>
    <x v="1"/>
    <x v="7"/>
    <x v="3"/>
    <x v="8"/>
    <x v="8"/>
    <x v="1"/>
    <x v="6"/>
    <x v="2"/>
    <x v="8"/>
  </r>
  <r>
    <x v="9"/>
    <x v="9"/>
    <x v="1"/>
    <x v="7"/>
    <x v="0"/>
    <x v="9"/>
    <x v="9"/>
    <x v="0"/>
    <x v="6"/>
    <x v="2"/>
    <x v="9"/>
  </r>
  <r>
    <x v="10"/>
    <x v="10"/>
    <x v="1"/>
    <x v="8"/>
    <x v="2"/>
    <x v="10"/>
    <x v="10"/>
    <x v="0"/>
    <x v="0"/>
    <x v="0"/>
    <x v="10"/>
  </r>
  <r>
    <x v="11"/>
    <x v="11"/>
    <x v="1"/>
    <x v="8"/>
    <x v="0"/>
    <x v="11"/>
    <x v="11"/>
    <x v="2"/>
    <x v="0"/>
    <x v="0"/>
    <x v="11"/>
  </r>
  <r>
    <x v="12"/>
    <x v="6"/>
    <x v="2"/>
    <x v="0"/>
    <x v="3"/>
    <x v="12"/>
    <x v="12"/>
    <x v="0"/>
    <x v="0"/>
    <x v="0"/>
    <x v="12"/>
  </r>
  <r>
    <x v="13"/>
    <x v="12"/>
    <x v="0"/>
    <x v="4"/>
    <x v="0"/>
    <x v="13"/>
    <x v="13"/>
    <x v="0"/>
    <x v="4"/>
    <x v="0"/>
    <x v="13"/>
  </r>
  <r>
    <x v="14"/>
    <x v="13"/>
    <x v="2"/>
    <x v="7"/>
    <x v="0"/>
    <x v="14"/>
    <x v="14"/>
    <x v="2"/>
    <x v="6"/>
    <x v="2"/>
    <x v="14"/>
  </r>
  <r>
    <x v="15"/>
    <x v="14"/>
    <x v="2"/>
    <x v="4"/>
    <x v="1"/>
    <x v="15"/>
    <x v="15"/>
    <x v="1"/>
    <x v="4"/>
    <x v="0"/>
    <x v="15"/>
  </r>
  <r>
    <x v="16"/>
    <x v="15"/>
    <x v="1"/>
    <x v="7"/>
    <x v="2"/>
    <x v="16"/>
    <x v="16"/>
    <x v="0"/>
    <x v="6"/>
    <x v="2"/>
    <x v="16"/>
  </r>
  <r>
    <x v="17"/>
    <x v="16"/>
    <x v="1"/>
    <x v="9"/>
    <x v="0"/>
    <x v="17"/>
    <x v="17"/>
    <x v="0"/>
    <x v="7"/>
    <x v="1"/>
    <x v="17"/>
  </r>
  <r>
    <x v="18"/>
    <x v="17"/>
    <x v="1"/>
    <x v="9"/>
    <x v="0"/>
    <x v="18"/>
    <x v="18"/>
    <x v="1"/>
    <x v="7"/>
    <x v="1"/>
    <x v="18"/>
  </r>
  <r>
    <x v="19"/>
    <x v="18"/>
    <x v="1"/>
    <x v="7"/>
    <x v="3"/>
    <x v="19"/>
    <x v="19"/>
    <x v="1"/>
    <x v="6"/>
    <x v="2"/>
    <x v="19"/>
  </r>
  <r>
    <x v="20"/>
    <x v="19"/>
    <x v="0"/>
    <x v="7"/>
    <x v="2"/>
    <x v="20"/>
    <x v="20"/>
    <x v="1"/>
    <x v="6"/>
    <x v="2"/>
    <x v="20"/>
  </r>
  <r>
    <x v="21"/>
    <x v="20"/>
    <x v="1"/>
    <x v="9"/>
    <x v="2"/>
    <x v="21"/>
    <x v="21"/>
    <x v="0"/>
    <x v="7"/>
    <x v="1"/>
    <x v="21"/>
  </r>
  <r>
    <x v="22"/>
    <x v="21"/>
    <x v="2"/>
    <x v="5"/>
    <x v="0"/>
    <x v="22"/>
    <x v="22"/>
    <x v="0"/>
    <x v="5"/>
    <x v="0"/>
    <x v="22"/>
  </r>
  <r>
    <x v="23"/>
    <x v="22"/>
    <x v="0"/>
    <x v="3"/>
    <x v="2"/>
    <x v="23"/>
    <x v="23"/>
    <x v="0"/>
    <x v="3"/>
    <x v="1"/>
    <x v="23"/>
  </r>
  <r>
    <x v="24"/>
    <x v="23"/>
    <x v="1"/>
    <x v="4"/>
    <x v="0"/>
    <x v="24"/>
    <x v="24"/>
    <x v="1"/>
    <x v="4"/>
    <x v="0"/>
    <x v="24"/>
  </r>
  <r>
    <x v="25"/>
    <x v="24"/>
    <x v="1"/>
    <x v="7"/>
    <x v="0"/>
    <x v="25"/>
    <x v="25"/>
    <x v="1"/>
    <x v="6"/>
    <x v="2"/>
    <x v="25"/>
  </r>
  <r>
    <x v="26"/>
    <x v="25"/>
    <x v="1"/>
    <x v="7"/>
    <x v="3"/>
    <x v="26"/>
    <x v="26"/>
    <x v="0"/>
    <x v="6"/>
    <x v="2"/>
    <x v="26"/>
  </r>
  <r>
    <x v="27"/>
    <x v="26"/>
    <x v="1"/>
    <x v="3"/>
    <x v="0"/>
    <x v="27"/>
    <x v="27"/>
    <x v="1"/>
    <x v="3"/>
    <x v="1"/>
    <x v="27"/>
  </r>
  <r>
    <x v="28"/>
    <x v="27"/>
    <x v="1"/>
    <x v="7"/>
    <x v="3"/>
    <x v="28"/>
    <x v="28"/>
    <x v="0"/>
    <x v="6"/>
    <x v="2"/>
    <x v="28"/>
  </r>
  <r>
    <x v="29"/>
    <x v="28"/>
    <x v="1"/>
    <x v="8"/>
    <x v="0"/>
    <x v="29"/>
    <x v="29"/>
    <x v="2"/>
    <x v="0"/>
    <x v="0"/>
    <x v="29"/>
  </r>
  <r>
    <x v="30"/>
    <x v="29"/>
    <x v="2"/>
    <x v="7"/>
    <x v="3"/>
    <x v="30"/>
    <x v="30"/>
    <x v="1"/>
    <x v="6"/>
    <x v="2"/>
    <x v="30"/>
  </r>
  <r>
    <x v="31"/>
    <x v="30"/>
    <x v="3"/>
    <x v="7"/>
    <x v="0"/>
    <x v="31"/>
    <x v="31"/>
    <x v="1"/>
    <x v="6"/>
    <x v="2"/>
    <x v="31"/>
  </r>
  <r>
    <x v="32"/>
    <x v="31"/>
    <x v="3"/>
    <x v="8"/>
    <x v="3"/>
    <x v="32"/>
    <x v="13"/>
    <x v="0"/>
    <x v="0"/>
    <x v="0"/>
    <x v="32"/>
  </r>
  <r>
    <x v="33"/>
    <x v="32"/>
    <x v="1"/>
    <x v="6"/>
    <x v="2"/>
    <x v="33"/>
    <x v="32"/>
    <x v="0"/>
    <x v="5"/>
    <x v="0"/>
    <x v="33"/>
  </r>
  <r>
    <x v="34"/>
    <x v="3"/>
    <x v="1"/>
    <x v="1"/>
    <x v="2"/>
    <x v="34"/>
    <x v="33"/>
    <x v="1"/>
    <x v="1"/>
    <x v="1"/>
    <x v="34"/>
  </r>
  <r>
    <x v="35"/>
    <x v="33"/>
    <x v="1"/>
    <x v="4"/>
    <x v="2"/>
    <x v="35"/>
    <x v="34"/>
    <x v="1"/>
    <x v="4"/>
    <x v="0"/>
    <x v="35"/>
  </r>
  <r>
    <x v="36"/>
    <x v="34"/>
    <x v="2"/>
    <x v="9"/>
    <x v="0"/>
    <x v="36"/>
    <x v="35"/>
    <x v="1"/>
    <x v="7"/>
    <x v="1"/>
    <x v="36"/>
  </r>
  <r>
    <x v="37"/>
    <x v="35"/>
    <x v="1"/>
    <x v="7"/>
    <x v="3"/>
    <x v="37"/>
    <x v="36"/>
    <x v="0"/>
    <x v="6"/>
    <x v="2"/>
    <x v="37"/>
  </r>
  <r>
    <x v="38"/>
    <x v="36"/>
    <x v="2"/>
    <x v="2"/>
    <x v="0"/>
    <x v="38"/>
    <x v="37"/>
    <x v="0"/>
    <x v="2"/>
    <x v="2"/>
    <x v="38"/>
  </r>
  <r>
    <x v="39"/>
    <x v="37"/>
    <x v="3"/>
    <x v="1"/>
    <x v="0"/>
    <x v="39"/>
    <x v="13"/>
    <x v="1"/>
    <x v="1"/>
    <x v="1"/>
    <x v="39"/>
  </r>
  <r>
    <x v="40"/>
    <x v="38"/>
    <x v="1"/>
    <x v="7"/>
    <x v="1"/>
    <x v="40"/>
    <x v="38"/>
    <x v="1"/>
    <x v="6"/>
    <x v="2"/>
    <x v="40"/>
  </r>
  <r>
    <x v="41"/>
    <x v="39"/>
    <x v="2"/>
    <x v="7"/>
    <x v="0"/>
    <x v="41"/>
    <x v="39"/>
    <x v="1"/>
    <x v="6"/>
    <x v="2"/>
    <x v="41"/>
  </r>
  <r>
    <x v="42"/>
    <x v="40"/>
    <x v="2"/>
    <x v="7"/>
    <x v="0"/>
    <x v="42"/>
    <x v="13"/>
    <x v="1"/>
    <x v="6"/>
    <x v="2"/>
    <x v="42"/>
  </r>
  <r>
    <x v="43"/>
    <x v="41"/>
    <x v="3"/>
    <x v="1"/>
    <x v="1"/>
    <x v="43"/>
    <x v="40"/>
    <x v="0"/>
    <x v="1"/>
    <x v="1"/>
    <x v="43"/>
  </r>
  <r>
    <x v="44"/>
    <x v="42"/>
    <x v="1"/>
    <x v="2"/>
    <x v="3"/>
    <x v="44"/>
    <x v="41"/>
    <x v="0"/>
    <x v="2"/>
    <x v="2"/>
    <x v="44"/>
  </r>
  <r>
    <x v="45"/>
    <x v="43"/>
    <x v="1"/>
    <x v="5"/>
    <x v="0"/>
    <x v="45"/>
    <x v="42"/>
    <x v="0"/>
    <x v="5"/>
    <x v="0"/>
    <x v="45"/>
  </r>
  <r>
    <x v="46"/>
    <x v="44"/>
    <x v="3"/>
    <x v="3"/>
    <x v="0"/>
    <x v="46"/>
    <x v="43"/>
    <x v="0"/>
    <x v="3"/>
    <x v="1"/>
    <x v="46"/>
  </r>
  <r>
    <x v="47"/>
    <x v="45"/>
    <x v="2"/>
    <x v="4"/>
    <x v="3"/>
    <x v="47"/>
    <x v="44"/>
    <x v="0"/>
    <x v="4"/>
    <x v="0"/>
    <x v="47"/>
  </r>
  <r>
    <x v="48"/>
    <x v="5"/>
    <x v="0"/>
    <x v="4"/>
    <x v="2"/>
    <x v="48"/>
    <x v="45"/>
    <x v="1"/>
    <x v="4"/>
    <x v="0"/>
    <x v="48"/>
  </r>
  <r>
    <x v="49"/>
    <x v="46"/>
    <x v="2"/>
    <x v="0"/>
    <x v="1"/>
    <x v="49"/>
    <x v="46"/>
    <x v="1"/>
    <x v="0"/>
    <x v="0"/>
    <x v="49"/>
  </r>
  <r>
    <x v="50"/>
    <x v="47"/>
    <x v="0"/>
    <x v="3"/>
    <x v="2"/>
    <x v="50"/>
    <x v="47"/>
    <x v="0"/>
    <x v="3"/>
    <x v="1"/>
    <x v="50"/>
  </r>
  <r>
    <x v="51"/>
    <x v="5"/>
    <x v="0"/>
    <x v="7"/>
    <x v="2"/>
    <x v="51"/>
    <x v="48"/>
    <x v="1"/>
    <x v="6"/>
    <x v="2"/>
    <x v="51"/>
  </r>
  <r>
    <x v="52"/>
    <x v="48"/>
    <x v="3"/>
    <x v="7"/>
    <x v="2"/>
    <x v="52"/>
    <x v="49"/>
    <x v="1"/>
    <x v="6"/>
    <x v="2"/>
    <x v="52"/>
  </r>
  <r>
    <x v="53"/>
    <x v="49"/>
    <x v="1"/>
    <x v="6"/>
    <x v="0"/>
    <x v="53"/>
    <x v="50"/>
    <x v="1"/>
    <x v="5"/>
    <x v="0"/>
    <x v="53"/>
  </r>
  <r>
    <x v="54"/>
    <x v="50"/>
    <x v="0"/>
    <x v="7"/>
    <x v="1"/>
    <x v="54"/>
    <x v="51"/>
    <x v="1"/>
    <x v="6"/>
    <x v="2"/>
    <x v="54"/>
  </r>
  <r>
    <x v="55"/>
    <x v="51"/>
    <x v="1"/>
    <x v="7"/>
    <x v="0"/>
    <x v="55"/>
    <x v="52"/>
    <x v="0"/>
    <x v="6"/>
    <x v="2"/>
    <x v="55"/>
  </r>
  <r>
    <x v="56"/>
    <x v="22"/>
    <x v="1"/>
    <x v="0"/>
    <x v="1"/>
    <x v="56"/>
    <x v="53"/>
    <x v="0"/>
    <x v="0"/>
    <x v="0"/>
    <x v="56"/>
  </r>
  <r>
    <x v="57"/>
    <x v="52"/>
    <x v="0"/>
    <x v="7"/>
    <x v="0"/>
    <x v="57"/>
    <x v="54"/>
    <x v="0"/>
    <x v="6"/>
    <x v="2"/>
    <x v="57"/>
  </r>
  <r>
    <x v="58"/>
    <x v="53"/>
    <x v="2"/>
    <x v="0"/>
    <x v="3"/>
    <x v="58"/>
    <x v="55"/>
    <x v="1"/>
    <x v="0"/>
    <x v="0"/>
    <x v="58"/>
  </r>
  <r>
    <x v="59"/>
    <x v="54"/>
    <x v="2"/>
    <x v="0"/>
    <x v="2"/>
    <x v="4"/>
    <x v="13"/>
    <x v="1"/>
    <x v="0"/>
    <x v="0"/>
    <x v="59"/>
  </r>
  <r>
    <x v="60"/>
    <x v="26"/>
    <x v="1"/>
    <x v="1"/>
    <x v="0"/>
    <x v="59"/>
    <x v="56"/>
    <x v="0"/>
    <x v="1"/>
    <x v="1"/>
    <x v="60"/>
  </r>
  <r>
    <x v="61"/>
    <x v="5"/>
    <x v="1"/>
    <x v="3"/>
    <x v="2"/>
    <x v="60"/>
    <x v="57"/>
    <x v="1"/>
    <x v="3"/>
    <x v="1"/>
    <x v="61"/>
  </r>
  <r>
    <x v="62"/>
    <x v="49"/>
    <x v="3"/>
    <x v="0"/>
    <x v="0"/>
    <x v="61"/>
    <x v="58"/>
    <x v="0"/>
    <x v="0"/>
    <x v="0"/>
    <x v="62"/>
  </r>
  <r>
    <x v="63"/>
    <x v="55"/>
    <x v="1"/>
    <x v="0"/>
    <x v="3"/>
    <x v="62"/>
    <x v="13"/>
    <x v="0"/>
    <x v="0"/>
    <x v="0"/>
    <x v="63"/>
  </r>
  <r>
    <x v="64"/>
    <x v="56"/>
    <x v="3"/>
    <x v="7"/>
    <x v="0"/>
    <x v="63"/>
    <x v="13"/>
    <x v="1"/>
    <x v="6"/>
    <x v="2"/>
    <x v="64"/>
  </r>
  <r>
    <x v="65"/>
    <x v="57"/>
    <x v="1"/>
    <x v="5"/>
    <x v="3"/>
    <x v="64"/>
    <x v="59"/>
    <x v="0"/>
    <x v="5"/>
    <x v="0"/>
    <x v="65"/>
  </r>
  <r>
    <x v="66"/>
    <x v="58"/>
    <x v="1"/>
    <x v="4"/>
    <x v="0"/>
    <x v="32"/>
    <x v="60"/>
    <x v="2"/>
    <x v="4"/>
    <x v="0"/>
    <x v="66"/>
  </r>
  <r>
    <x v="67"/>
    <x v="5"/>
    <x v="0"/>
    <x v="9"/>
    <x v="0"/>
    <x v="65"/>
    <x v="61"/>
    <x v="2"/>
    <x v="7"/>
    <x v="1"/>
    <x v="67"/>
  </r>
  <r>
    <x v="68"/>
    <x v="59"/>
    <x v="3"/>
    <x v="2"/>
    <x v="1"/>
    <x v="66"/>
    <x v="13"/>
    <x v="1"/>
    <x v="2"/>
    <x v="2"/>
    <x v="68"/>
  </r>
  <r>
    <x v="69"/>
    <x v="60"/>
    <x v="2"/>
    <x v="7"/>
    <x v="1"/>
    <x v="67"/>
    <x v="62"/>
    <x v="0"/>
    <x v="6"/>
    <x v="2"/>
    <x v="69"/>
  </r>
  <r>
    <x v="70"/>
    <x v="5"/>
    <x v="2"/>
    <x v="9"/>
    <x v="1"/>
    <x v="68"/>
    <x v="63"/>
    <x v="1"/>
    <x v="7"/>
    <x v="1"/>
    <x v="70"/>
  </r>
  <r>
    <x v="71"/>
    <x v="61"/>
    <x v="2"/>
    <x v="7"/>
    <x v="1"/>
    <x v="69"/>
    <x v="64"/>
    <x v="1"/>
    <x v="6"/>
    <x v="2"/>
    <x v="71"/>
  </r>
  <r>
    <x v="72"/>
    <x v="62"/>
    <x v="1"/>
    <x v="7"/>
    <x v="2"/>
    <x v="70"/>
    <x v="65"/>
    <x v="0"/>
    <x v="6"/>
    <x v="2"/>
    <x v="72"/>
  </r>
  <r>
    <x v="73"/>
    <x v="63"/>
    <x v="1"/>
    <x v="1"/>
    <x v="3"/>
    <x v="71"/>
    <x v="66"/>
    <x v="0"/>
    <x v="1"/>
    <x v="1"/>
    <x v="73"/>
  </r>
  <r>
    <x v="74"/>
    <x v="64"/>
    <x v="1"/>
    <x v="6"/>
    <x v="0"/>
    <x v="72"/>
    <x v="13"/>
    <x v="1"/>
    <x v="5"/>
    <x v="0"/>
    <x v="74"/>
  </r>
  <r>
    <x v="75"/>
    <x v="8"/>
    <x v="2"/>
    <x v="0"/>
    <x v="3"/>
    <x v="73"/>
    <x v="67"/>
    <x v="2"/>
    <x v="0"/>
    <x v="0"/>
    <x v="75"/>
  </r>
  <r>
    <x v="76"/>
    <x v="65"/>
    <x v="1"/>
    <x v="7"/>
    <x v="1"/>
    <x v="37"/>
    <x v="68"/>
    <x v="0"/>
    <x v="6"/>
    <x v="2"/>
    <x v="76"/>
  </r>
  <r>
    <x v="77"/>
    <x v="17"/>
    <x v="0"/>
    <x v="4"/>
    <x v="0"/>
    <x v="74"/>
    <x v="13"/>
    <x v="0"/>
    <x v="4"/>
    <x v="0"/>
    <x v="77"/>
  </r>
  <r>
    <x v="78"/>
    <x v="66"/>
    <x v="3"/>
    <x v="7"/>
    <x v="2"/>
    <x v="75"/>
    <x v="69"/>
    <x v="1"/>
    <x v="6"/>
    <x v="2"/>
    <x v="78"/>
  </r>
  <r>
    <x v="79"/>
    <x v="5"/>
    <x v="0"/>
    <x v="3"/>
    <x v="2"/>
    <x v="76"/>
    <x v="70"/>
    <x v="2"/>
    <x v="3"/>
    <x v="1"/>
    <x v="79"/>
  </r>
  <r>
    <x v="80"/>
    <x v="10"/>
    <x v="3"/>
    <x v="7"/>
    <x v="0"/>
    <x v="77"/>
    <x v="71"/>
    <x v="1"/>
    <x v="6"/>
    <x v="2"/>
    <x v="80"/>
  </r>
  <r>
    <x v="81"/>
    <x v="67"/>
    <x v="3"/>
    <x v="0"/>
    <x v="1"/>
    <x v="78"/>
    <x v="72"/>
    <x v="0"/>
    <x v="0"/>
    <x v="0"/>
    <x v="81"/>
  </r>
  <r>
    <x v="82"/>
    <x v="18"/>
    <x v="1"/>
    <x v="4"/>
    <x v="2"/>
    <x v="79"/>
    <x v="73"/>
    <x v="0"/>
    <x v="4"/>
    <x v="0"/>
    <x v="82"/>
  </r>
  <r>
    <x v="83"/>
    <x v="68"/>
    <x v="1"/>
    <x v="5"/>
    <x v="3"/>
    <x v="80"/>
    <x v="74"/>
    <x v="0"/>
    <x v="5"/>
    <x v="0"/>
    <x v="83"/>
  </r>
  <r>
    <x v="84"/>
    <x v="69"/>
    <x v="1"/>
    <x v="7"/>
    <x v="3"/>
    <x v="81"/>
    <x v="75"/>
    <x v="0"/>
    <x v="6"/>
    <x v="2"/>
    <x v="84"/>
  </r>
  <r>
    <x v="85"/>
    <x v="70"/>
    <x v="0"/>
    <x v="5"/>
    <x v="0"/>
    <x v="82"/>
    <x v="76"/>
    <x v="1"/>
    <x v="5"/>
    <x v="0"/>
    <x v="85"/>
  </r>
  <r>
    <x v="86"/>
    <x v="71"/>
    <x v="1"/>
    <x v="7"/>
    <x v="1"/>
    <x v="83"/>
    <x v="77"/>
    <x v="0"/>
    <x v="6"/>
    <x v="2"/>
    <x v="86"/>
  </r>
  <r>
    <x v="87"/>
    <x v="72"/>
    <x v="2"/>
    <x v="5"/>
    <x v="1"/>
    <x v="84"/>
    <x v="78"/>
    <x v="0"/>
    <x v="5"/>
    <x v="0"/>
    <x v="87"/>
  </r>
  <r>
    <x v="88"/>
    <x v="73"/>
    <x v="1"/>
    <x v="4"/>
    <x v="3"/>
    <x v="85"/>
    <x v="13"/>
    <x v="0"/>
    <x v="4"/>
    <x v="0"/>
    <x v="88"/>
  </r>
  <r>
    <x v="89"/>
    <x v="74"/>
    <x v="1"/>
    <x v="4"/>
    <x v="1"/>
    <x v="86"/>
    <x v="79"/>
    <x v="0"/>
    <x v="4"/>
    <x v="0"/>
    <x v="89"/>
  </r>
  <r>
    <x v="90"/>
    <x v="75"/>
    <x v="2"/>
    <x v="7"/>
    <x v="2"/>
    <x v="87"/>
    <x v="80"/>
    <x v="1"/>
    <x v="6"/>
    <x v="2"/>
    <x v="90"/>
  </r>
  <r>
    <x v="91"/>
    <x v="76"/>
    <x v="0"/>
    <x v="0"/>
    <x v="2"/>
    <x v="47"/>
    <x v="81"/>
    <x v="1"/>
    <x v="0"/>
    <x v="0"/>
    <x v="91"/>
  </r>
  <r>
    <x v="92"/>
    <x v="77"/>
    <x v="0"/>
    <x v="6"/>
    <x v="0"/>
    <x v="88"/>
    <x v="82"/>
    <x v="1"/>
    <x v="5"/>
    <x v="0"/>
    <x v="92"/>
  </r>
  <r>
    <x v="93"/>
    <x v="78"/>
    <x v="2"/>
    <x v="8"/>
    <x v="0"/>
    <x v="89"/>
    <x v="83"/>
    <x v="1"/>
    <x v="0"/>
    <x v="0"/>
    <x v="93"/>
  </r>
  <r>
    <x v="94"/>
    <x v="79"/>
    <x v="2"/>
    <x v="7"/>
    <x v="1"/>
    <x v="90"/>
    <x v="13"/>
    <x v="0"/>
    <x v="6"/>
    <x v="2"/>
    <x v="94"/>
  </r>
  <r>
    <x v="95"/>
    <x v="80"/>
    <x v="2"/>
    <x v="5"/>
    <x v="0"/>
    <x v="72"/>
    <x v="84"/>
    <x v="1"/>
    <x v="5"/>
    <x v="0"/>
    <x v="95"/>
  </r>
  <r>
    <x v="96"/>
    <x v="81"/>
    <x v="1"/>
    <x v="0"/>
    <x v="3"/>
    <x v="43"/>
    <x v="85"/>
    <x v="0"/>
    <x v="0"/>
    <x v="0"/>
    <x v="96"/>
  </r>
  <r>
    <x v="97"/>
    <x v="82"/>
    <x v="1"/>
    <x v="3"/>
    <x v="2"/>
    <x v="91"/>
    <x v="86"/>
    <x v="1"/>
    <x v="3"/>
    <x v="1"/>
    <x v="97"/>
  </r>
  <r>
    <x v="98"/>
    <x v="83"/>
    <x v="1"/>
    <x v="7"/>
    <x v="3"/>
    <x v="92"/>
    <x v="87"/>
    <x v="0"/>
    <x v="6"/>
    <x v="2"/>
    <x v="98"/>
  </r>
  <r>
    <x v="99"/>
    <x v="26"/>
    <x v="1"/>
    <x v="1"/>
    <x v="3"/>
    <x v="93"/>
    <x v="13"/>
    <x v="0"/>
    <x v="1"/>
    <x v="1"/>
    <x v="99"/>
  </r>
  <r>
    <x v="100"/>
    <x v="15"/>
    <x v="0"/>
    <x v="0"/>
    <x v="1"/>
    <x v="94"/>
    <x v="88"/>
    <x v="0"/>
    <x v="0"/>
    <x v="0"/>
    <x v="100"/>
  </r>
  <r>
    <x v="101"/>
    <x v="84"/>
    <x v="3"/>
    <x v="4"/>
    <x v="0"/>
    <x v="95"/>
    <x v="13"/>
    <x v="0"/>
    <x v="4"/>
    <x v="0"/>
    <x v="101"/>
  </r>
  <r>
    <x v="102"/>
    <x v="85"/>
    <x v="3"/>
    <x v="3"/>
    <x v="0"/>
    <x v="85"/>
    <x v="13"/>
    <x v="0"/>
    <x v="3"/>
    <x v="1"/>
    <x v="88"/>
  </r>
  <r>
    <x v="103"/>
    <x v="86"/>
    <x v="1"/>
    <x v="7"/>
    <x v="2"/>
    <x v="96"/>
    <x v="89"/>
    <x v="1"/>
    <x v="6"/>
    <x v="2"/>
    <x v="102"/>
  </r>
  <r>
    <x v="104"/>
    <x v="5"/>
    <x v="2"/>
    <x v="7"/>
    <x v="2"/>
    <x v="97"/>
    <x v="90"/>
    <x v="1"/>
    <x v="6"/>
    <x v="2"/>
    <x v="103"/>
  </r>
  <r>
    <x v="105"/>
    <x v="87"/>
    <x v="0"/>
    <x v="7"/>
    <x v="0"/>
    <x v="40"/>
    <x v="91"/>
    <x v="0"/>
    <x v="6"/>
    <x v="2"/>
    <x v="104"/>
  </r>
  <r>
    <x v="106"/>
    <x v="88"/>
    <x v="3"/>
    <x v="5"/>
    <x v="2"/>
    <x v="98"/>
    <x v="13"/>
    <x v="2"/>
    <x v="5"/>
    <x v="0"/>
    <x v="105"/>
  </r>
  <r>
    <x v="107"/>
    <x v="89"/>
    <x v="1"/>
    <x v="7"/>
    <x v="0"/>
    <x v="47"/>
    <x v="92"/>
    <x v="1"/>
    <x v="6"/>
    <x v="2"/>
    <x v="106"/>
  </r>
  <r>
    <x v="108"/>
    <x v="90"/>
    <x v="3"/>
    <x v="6"/>
    <x v="0"/>
    <x v="99"/>
    <x v="93"/>
    <x v="0"/>
    <x v="5"/>
    <x v="0"/>
    <x v="107"/>
  </r>
  <r>
    <x v="109"/>
    <x v="91"/>
    <x v="1"/>
    <x v="1"/>
    <x v="2"/>
    <x v="100"/>
    <x v="94"/>
    <x v="0"/>
    <x v="1"/>
    <x v="1"/>
    <x v="108"/>
  </r>
  <r>
    <x v="110"/>
    <x v="84"/>
    <x v="2"/>
    <x v="4"/>
    <x v="3"/>
    <x v="101"/>
    <x v="95"/>
    <x v="1"/>
    <x v="4"/>
    <x v="0"/>
    <x v="109"/>
  </r>
  <r>
    <x v="111"/>
    <x v="92"/>
    <x v="3"/>
    <x v="8"/>
    <x v="0"/>
    <x v="102"/>
    <x v="96"/>
    <x v="1"/>
    <x v="0"/>
    <x v="0"/>
    <x v="110"/>
  </r>
  <r>
    <x v="112"/>
    <x v="93"/>
    <x v="3"/>
    <x v="4"/>
    <x v="0"/>
    <x v="103"/>
    <x v="97"/>
    <x v="0"/>
    <x v="4"/>
    <x v="0"/>
    <x v="111"/>
  </r>
  <r>
    <x v="113"/>
    <x v="94"/>
    <x v="2"/>
    <x v="3"/>
    <x v="0"/>
    <x v="104"/>
    <x v="98"/>
    <x v="2"/>
    <x v="3"/>
    <x v="1"/>
    <x v="112"/>
  </r>
  <r>
    <x v="114"/>
    <x v="60"/>
    <x v="1"/>
    <x v="4"/>
    <x v="0"/>
    <x v="105"/>
    <x v="99"/>
    <x v="0"/>
    <x v="4"/>
    <x v="0"/>
    <x v="113"/>
  </r>
  <r>
    <x v="115"/>
    <x v="95"/>
    <x v="2"/>
    <x v="5"/>
    <x v="1"/>
    <x v="106"/>
    <x v="100"/>
    <x v="1"/>
    <x v="5"/>
    <x v="0"/>
    <x v="114"/>
  </r>
  <r>
    <x v="116"/>
    <x v="96"/>
    <x v="2"/>
    <x v="4"/>
    <x v="3"/>
    <x v="107"/>
    <x v="101"/>
    <x v="1"/>
    <x v="4"/>
    <x v="0"/>
    <x v="115"/>
  </r>
  <r>
    <x v="117"/>
    <x v="97"/>
    <x v="1"/>
    <x v="7"/>
    <x v="0"/>
    <x v="108"/>
    <x v="102"/>
    <x v="1"/>
    <x v="6"/>
    <x v="2"/>
    <x v="116"/>
  </r>
  <r>
    <x v="118"/>
    <x v="72"/>
    <x v="1"/>
    <x v="3"/>
    <x v="3"/>
    <x v="109"/>
    <x v="103"/>
    <x v="2"/>
    <x v="3"/>
    <x v="1"/>
    <x v="117"/>
  </r>
  <r>
    <x v="119"/>
    <x v="98"/>
    <x v="3"/>
    <x v="2"/>
    <x v="0"/>
    <x v="110"/>
    <x v="104"/>
    <x v="0"/>
    <x v="2"/>
    <x v="2"/>
    <x v="11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0"/>
    <x v="1"/>
    <x v="1"/>
    <x v="1"/>
    <x v="1"/>
    <x v="0"/>
    <x v="1"/>
  </r>
  <r>
    <x v="2"/>
    <x v="2"/>
    <x v="2"/>
    <x v="2"/>
    <x v="2"/>
    <x v="2"/>
    <x v="2"/>
    <x v="1"/>
    <x v="2"/>
    <x v="2"/>
    <x v="2"/>
    <x v="2"/>
    <x v="0"/>
    <x v="2"/>
  </r>
  <r>
    <x v="3"/>
    <x v="3"/>
    <x v="1"/>
    <x v="3"/>
    <x v="2"/>
    <x v="3"/>
    <x v="3"/>
    <x v="2"/>
    <x v="3"/>
    <x v="1"/>
    <x v="3"/>
    <x v="3"/>
    <x v="1"/>
    <x v="3"/>
  </r>
  <r>
    <x v="4"/>
    <x v="4"/>
    <x v="0"/>
    <x v="4"/>
    <x v="2"/>
    <x v="4"/>
    <x v="4"/>
    <x v="1"/>
    <x v="4"/>
    <x v="0"/>
    <x v="4"/>
    <x v="4"/>
    <x v="0"/>
    <x v="4"/>
  </r>
  <r>
    <x v="5"/>
    <x v="5"/>
    <x v="1"/>
    <x v="4"/>
    <x v="2"/>
    <x v="5"/>
    <x v="5"/>
    <x v="1"/>
    <x v="4"/>
    <x v="0"/>
    <x v="5"/>
    <x v="5"/>
    <x v="0"/>
    <x v="5"/>
  </r>
  <r>
    <x v="6"/>
    <x v="6"/>
    <x v="1"/>
    <x v="5"/>
    <x v="2"/>
    <x v="6"/>
    <x v="6"/>
    <x v="1"/>
    <x v="5"/>
    <x v="0"/>
    <x v="6"/>
    <x v="6"/>
    <x v="0"/>
    <x v="4"/>
  </r>
  <r>
    <x v="7"/>
    <x v="7"/>
    <x v="1"/>
    <x v="6"/>
    <x v="3"/>
    <x v="7"/>
    <x v="7"/>
    <x v="1"/>
    <x v="5"/>
    <x v="0"/>
    <x v="7"/>
    <x v="7"/>
    <x v="0"/>
    <x v="6"/>
  </r>
  <r>
    <x v="8"/>
    <x v="8"/>
    <x v="1"/>
    <x v="7"/>
    <x v="3"/>
    <x v="8"/>
    <x v="8"/>
    <x v="1"/>
    <x v="6"/>
    <x v="2"/>
    <x v="8"/>
    <x v="8"/>
    <x v="1"/>
    <x v="3"/>
  </r>
  <r>
    <x v="9"/>
    <x v="9"/>
    <x v="1"/>
    <x v="7"/>
    <x v="0"/>
    <x v="9"/>
    <x v="9"/>
    <x v="0"/>
    <x v="6"/>
    <x v="2"/>
    <x v="9"/>
    <x v="9"/>
    <x v="0"/>
    <x v="7"/>
  </r>
  <r>
    <x v="10"/>
    <x v="10"/>
    <x v="1"/>
    <x v="8"/>
    <x v="2"/>
    <x v="10"/>
    <x v="10"/>
    <x v="0"/>
    <x v="0"/>
    <x v="0"/>
    <x v="10"/>
    <x v="10"/>
    <x v="0"/>
    <x v="5"/>
  </r>
  <r>
    <x v="11"/>
    <x v="11"/>
    <x v="1"/>
    <x v="8"/>
    <x v="0"/>
    <x v="11"/>
    <x v="11"/>
    <x v="2"/>
    <x v="0"/>
    <x v="0"/>
    <x v="11"/>
    <x v="11"/>
    <x v="0"/>
    <x v="8"/>
  </r>
  <r>
    <x v="12"/>
    <x v="6"/>
    <x v="2"/>
    <x v="0"/>
    <x v="3"/>
    <x v="12"/>
    <x v="12"/>
    <x v="0"/>
    <x v="0"/>
    <x v="0"/>
    <x v="12"/>
    <x v="12"/>
    <x v="0"/>
    <x v="4"/>
  </r>
  <r>
    <x v="13"/>
    <x v="12"/>
    <x v="0"/>
    <x v="4"/>
    <x v="0"/>
    <x v="13"/>
    <x v="13"/>
    <x v="0"/>
    <x v="4"/>
    <x v="0"/>
    <x v="13"/>
    <x v="13"/>
    <x v="0"/>
    <x v="4"/>
  </r>
  <r>
    <x v="14"/>
    <x v="13"/>
    <x v="2"/>
    <x v="7"/>
    <x v="0"/>
    <x v="14"/>
    <x v="14"/>
    <x v="2"/>
    <x v="6"/>
    <x v="2"/>
    <x v="14"/>
    <x v="14"/>
    <x v="0"/>
    <x v="8"/>
  </r>
  <r>
    <x v="15"/>
    <x v="14"/>
    <x v="2"/>
    <x v="4"/>
    <x v="1"/>
    <x v="15"/>
    <x v="15"/>
    <x v="1"/>
    <x v="4"/>
    <x v="0"/>
    <x v="15"/>
    <x v="15"/>
    <x v="0"/>
    <x v="6"/>
  </r>
  <r>
    <x v="16"/>
    <x v="15"/>
    <x v="1"/>
    <x v="7"/>
    <x v="2"/>
    <x v="16"/>
    <x v="16"/>
    <x v="0"/>
    <x v="6"/>
    <x v="2"/>
    <x v="16"/>
    <x v="16"/>
    <x v="1"/>
    <x v="3"/>
  </r>
  <r>
    <x v="17"/>
    <x v="16"/>
    <x v="1"/>
    <x v="9"/>
    <x v="0"/>
    <x v="17"/>
    <x v="17"/>
    <x v="0"/>
    <x v="7"/>
    <x v="1"/>
    <x v="17"/>
    <x v="17"/>
    <x v="0"/>
    <x v="0"/>
  </r>
  <r>
    <x v="18"/>
    <x v="17"/>
    <x v="1"/>
    <x v="9"/>
    <x v="0"/>
    <x v="18"/>
    <x v="18"/>
    <x v="1"/>
    <x v="7"/>
    <x v="1"/>
    <x v="18"/>
    <x v="18"/>
    <x v="0"/>
    <x v="4"/>
  </r>
  <r>
    <x v="19"/>
    <x v="18"/>
    <x v="1"/>
    <x v="7"/>
    <x v="3"/>
    <x v="19"/>
    <x v="19"/>
    <x v="1"/>
    <x v="6"/>
    <x v="2"/>
    <x v="19"/>
    <x v="19"/>
    <x v="1"/>
    <x v="9"/>
  </r>
  <r>
    <x v="20"/>
    <x v="19"/>
    <x v="0"/>
    <x v="7"/>
    <x v="2"/>
    <x v="20"/>
    <x v="20"/>
    <x v="1"/>
    <x v="6"/>
    <x v="2"/>
    <x v="20"/>
    <x v="20"/>
    <x v="0"/>
    <x v="6"/>
  </r>
  <r>
    <x v="21"/>
    <x v="20"/>
    <x v="1"/>
    <x v="9"/>
    <x v="2"/>
    <x v="21"/>
    <x v="21"/>
    <x v="0"/>
    <x v="7"/>
    <x v="1"/>
    <x v="21"/>
    <x v="21"/>
    <x v="0"/>
    <x v="6"/>
  </r>
  <r>
    <x v="22"/>
    <x v="21"/>
    <x v="2"/>
    <x v="5"/>
    <x v="0"/>
    <x v="22"/>
    <x v="22"/>
    <x v="0"/>
    <x v="5"/>
    <x v="0"/>
    <x v="22"/>
    <x v="22"/>
    <x v="0"/>
    <x v="7"/>
  </r>
  <r>
    <x v="23"/>
    <x v="22"/>
    <x v="0"/>
    <x v="3"/>
    <x v="2"/>
    <x v="23"/>
    <x v="23"/>
    <x v="0"/>
    <x v="3"/>
    <x v="1"/>
    <x v="23"/>
    <x v="23"/>
    <x v="0"/>
    <x v="6"/>
  </r>
  <r>
    <x v="24"/>
    <x v="23"/>
    <x v="1"/>
    <x v="4"/>
    <x v="0"/>
    <x v="24"/>
    <x v="24"/>
    <x v="1"/>
    <x v="4"/>
    <x v="0"/>
    <x v="24"/>
    <x v="24"/>
    <x v="1"/>
    <x v="9"/>
  </r>
  <r>
    <x v="25"/>
    <x v="24"/>
    <x v="1"/>
    <x v="7"/>
    <x v="0"/>
    <x v="25"/>
    <x v="25"/>
    <x v="1"/>
    <x v="6"/>
    <x v="2"/>
    <x v="25"/>
    <x v="25"/>
    <x v="0"/>
    <x v="7"/>
  </r>
  <r>
    <x v="26"/>
    <x v="25"/>
    <x v="1"/>
    <x v="7"/>
    <x v="3"/>
    <x v="26"/>
    <x v="26"/>
    <x v="0"/>
    <x v="6"/>
    <x v="2"/>
    <x v="26"/>
    <x v="26"/>
    <x v="0"/>
    <x v="7"/>
  </r>
  <r>
    <x v="27"/>
    <x v="26"/>
    <x v="1"/>
    <x v="3"/>
    <x v="0"/>
    <x v="27"/>
    <x v="27"/>
    <x v="1"/>
    <x v="3"/>
    <x v="1"/>
    <x v="27"/>
    <x v="27"/>
    <x v="1"/>
    <x v="10"/>
  </r>
  <r>
    <x v="28"/>
    <x v="27"/>
    <x v="1"/>
    <x v="7"/>
    <x v="3"/>
    <x v="28"/>
    <x v="28"/>
    <x v="0"/>
    <x v="6"/>
    <x v="2"/>
    <x v="28"/>
    <x v="28"/>
    <x v="0"/>
    <x v="5"/>
  </r>
  <r>
    <x v="29"/>
    <x v="28"/>
    <x v="1"/>
    <x v="8"/>
    <x v="0"/>
    <x v="29"/>
    <x v="29"/>
    <x v="2"/>
    <x v="0"/>
    <x v="0"/>
    <x v="29"/>
    <x v="29"/>
    <x v="1"/>
    <x v="3"/>
  </r>
  <r>
    <x v="30"/>
    <x v="29"/>
    <x v="2"/>
    <x v="7"/>
    <x v="3"/>
    <x v="30"/>
    <x v="30"/>
    <x v="1"/>
    <x v="6"/>
    <x v="2"/>
    <x v="30"/>
    <x v="30"/>
    <x v="0"/>
    <x v="11"/>
  </r>
  <r>
    <x v="31"/>
    <x v="30"/>
    <x v="3"/>
    <x v="7"/>
    <x v="0"/>
    <x v="31"/>
    <x v="31"/>
    <x v="1"/>
    <x v="6"/>
    <x v="2"/>
    <x v="31"/>
    <x v="31"/>
    <x v="0"/>
    <x v="0"/>
  </r>
  <r>
    <x v="32"/>
    <x v="31"/>
    <x v="3"/>
    <x v="8"/>
    <x v="3"/>
    <x v="32"/>
    <x v="13"/>
    <x v="0"/>
    <x v="0"/>
    <x v="0"/>
    <x v="32"/>
    <x v="32"/>
    <x v="0"/>
    <x v="1"/>
  </r>
  <r>
    <x v="33"/>
    <x v="32"/>
    <x v="1"/>
    <x v="6"/>
    <x v="2"/>
    <x v="33"/>
    <x v="32"/>
    <x v="0"/>
    <x v="5"/>
    <x v="0"/>
    <x v="33"/>
    <x v="33"/>
    <x v="1"/>
    <x v="9"/>
  </r>
  <r>
    <x v="34"/>
    <x v="3"/>
    <x v="1"/>
    <x v="1"/>
    <x v="2"/>
    <x v="34"/>
    <x v="33"/>
    <x v="1"/>
    <x v="1"/>
    <x v="1"/>
    <x v="34"/>
    <x v="34"/>
    <x v="1"/>
    <x v="3"/>
  </r>
  <r>
    <x v="35"/>
    <x v="33"/>
    <x v="1"/>
    <x v="4"/>
    <x v="2"/>
    <x v="35"/>
    <x v="34"/>
    <x v="1"/>
    <x v="4"/>
    <x v="0"/>
    <x v="35"/>
    <x v="35"/>
    <x v="1"/>
    <x v="3"/>
  </r>
  <r>
    <x v="36"/>
    <x v="34"/>
    <x v="2"/>
    <x v="9"/>
    <x v="0"/>
    <x v="36"/>
    <x v="35"/>
    <x v="1"/>
    <x v="7"/>
    <x v="1"/>
    <x v="36"/>
    <x v="36"/>
    <x v="0"/>
    <x v="0"/>
  </r>
  <r>
    <x v="37"/>
    <x v="35"/>
    <x v="1"/>
    <x v="7"/>
    <x v="3"/>
    <x v="37"/>
    <x v="36"/>
    <x v="0"/>
    <x v="6"/>
    <x v="2"/>
    <x v="37"/>
    <x v="37"/>
    <x v="0"/>
    <x v="4"/>
  </r>
  <r>
    <x v="38"/>
    <x v="36"/>
    <x v="2"/>
    <x v="2"/>
    <x v="0"/>
    <x v="38"/>
    <x v="37"/>
    <x v="0"/>
    <x v="2"/>
    <x v="2"/>
    <x v="38"/>
    <x v="38"/>
    <x v="0"/>
    <x v="2"/>
  </r>
  <r>
    <x v="39"/>
    <x v="37"/>
    <x v="3"/>
    <x v="1"/>
    <x v="0"/>
    <x v="39"/>
    <x v="13"/>
    <x v="1"/>
    <x v="1"/>
    <x v="1"/>
    <x v="39"/>
    <x v="39"/>
    <x v="1"/>
    <x v="3"/>
  </r>
  <r>
    <x v="40"/>
    <x v="38"/>
    <x v="1"/>
    <x v="7"/>
    <x v="1"/>
    <x v="40"/>
    <x v="38"/>
    <x v="1"/>
    <x v="6"/>
    <x v="2"/>
    <x v="40"/>
    <x v="40"/>
    <x v="0"/>
    <x v="8"/>
  </r>
  <r>
    <x v="41"/>
    <x v="39"/>
    <x v="2"/>
    <x v="7"/>
    <x v="0"/>
    <x v="41"/>
    <x v="39"/>
    <x v="1"/>
    <x v="6"/>
    <x v="2"/>
    <x v="41"/>
    <x v="41"/>
    <x v="0"/>
    <x v="1"/>
  </r>
  <r>
    <x v="42"/>
    <x v="40"/>
    <x v="2"/>
    <x v="7"/>
    <x v="0"/>
    <x v="42"/>
    <x v="13"/>
    <x v="1"/>
    <x v="6"/>
    <x v="2"/>
    <x v="42"/>
    <x v="42"/>
    <x v="1"/>
    <x v="9"/>
  </r>
  <r>
    <x v="43"/>
    <x v="41"/>
    <x v="3"/>
    <x v="1"/>
    <x v="1"/>
    <x v="43"/>
    <x v="40"/>
    <x v="0"/>
    <x v="1"/>
    <x v="1"/>
    <x v="43"/>
    <x v="43"/>
    <x v="0"/>
    <x v="4"/>
  </r>
  <r>
    <x v="44"/>
    <x v="42"/>
    <x v="1"/>
    <x v="2"/>
    <x v="3"/>
    <x v="44"/>
    <x v="41"/>
    <x v="0"/>
    <x v="2"/>
    <x v="2"/>
    <x v="44"/>
    <x v="44"/>
    <x v="0"/>
    <x v="4"/>
  </r>
  <r>
    <x v="45"/>
    <x v="43"/>
    <x v="1"/>
    <x v="5"/>
    <x v="0"/>
    <x v="45"/>
    <x v="42"/>
    <x v="0"/>
    <x v="5"/>
    <x v="0"/>
    <x v="45"/>
    <x v="45"/>
    <x v="1"/>
    <x v="3"/>
  </r>
  <r>
    <x v="46"/>
    <x v="44"/>
    <x v="3"/>
    <x v="3"/>
    <x v="0"/>
    <x v="46"/>
    <x v="43"/>
    <x v="0"/>
    <x v="3"/>
    <x v="1"/>
    <x v="46"/>
    <x v="46"/>
    <x v="1"/>
    <x v="3"/>
  </r>
  <r>
    <x v="47"/>
    <x v="45"/>
    <x v="2"/>
    <x v="4"/>
    <x v="3"/>
    <x v="47"/>
    <x v="44"/>
    <x v="0"/>
    <x v="4"/>
    <x v="0"/>
    <x v="47"/>
    <x v="47"/>
    <x v="1"/>
    <x v="12"/>
  </r>
  <r>
    <x v="48"/>
    <x v="5"/>
    <x v="0"/>
    <x v="4"/>
    <x v="2"/>
    <x v="48"/>
    <x v="45"/>
    <x v="1"/>
    <x v="4"/>
    <x v="0"/>
    <x v="48"/>
    <x v="48"/>
    <x v="0"/>
    <x v="5"/>
  </r>
  <r>
    <x v="49"/>
    <x v="46"/>
    <x v="2"/>
    <x v="0"/>
    <x v="1"/>
    <x v="49"/>
    <x v="46"/>
    <x v="1"/>
    <x v="0"/>
    <x v="0"/>
    <x v="49"/>
    <x v="49"/>
    <x v="1"/>
    <x v="9"/>
  </r>
  <r>
    <x v="50"/>
    <x v="47"/>
    <x v="0"/>
    <x v="3"/>
    <x v="2"/>
    <x v="50"/>
    <x v="47"/>
    <x v="0"/>
    <x v="3"/>
    <x v="1"/>
    <x v="50"/>
    <x v="50"/>
    <x v="0"/>
    <x v="0"/>
  </r>
  <r>
    <x v="51"/>
    <x v="5"/>
    <x v="0"/>
    <x v="7"/>
    <x v="2"/>
    <x v="51"/>
    <x v="48"/>
    <x v="1"/>
    <x v="6"/>
    <x v="2"/>
    <x v="51"/>
    <x v="51"/>
    <x v="0"/>
    <x v="5"/>
  </r>
  <r>
    <x v="52"/>
    <x v="48"/>
    <x v="3"/>
    <x v="7"/>
    <x v="2"/>
    <x v="52"/>
    <x v="49"/>
    <x v="1"/>
    <x v="6"/>
    <x v="2"/>
    <x v="52"/>
    <x v="52"/>
    <x v="1"/>
    <x v="3"/>
  </r>
  <r>
    <x v="53"/>
    <x v="49"/>
    <x v="1"/>
    <x v="6"/>
    <x v="0"/>
    <x v="53"/>
    <x v="50"/>
    <x v="1"/>
    <x v="5"/>
    <x v="0"/>
    <x v="53"/>
    <x v="53"/>
    <x v="0"/>
    <x v="7"/>
  </r>
  <r>
    <x v="54"/>
    <x v="50"/>
    <x v="0"/>
    <x v="7"/>
    <x v="1"/>
    <x v="54"/>
    <x v="51"/>
    <x v="1"/>
    <x v="6"/>
    <x v="2"/>
    <x v="54"/>
    <x v="54"/>
    <x v="0"/>
    <x v="11"/>
  </r>
  <r>
    <x v="55"/>
    <x v="51"/>
    <x v="1"/>
    <x v="7"/>
    <x v="0"/>
    <x v="55"/>
    <x v="52"/>
    <x v="0"/>
    <x v="6"/>
    <x v="2"/>
    <x v="55"/>
    <x v="55"/>
    <x v="1"/>
    <x v="12"/>
  </r>
  <r>
    <x v="56"/>
    <x v="22"/>
    <x v="1"/>
    <x v="0"/>
    <x v="1"/>
    <x v="56"/>
    <x v="53"/>
    <x v="0"/>
    <x v="0"/>
    <x v="0"/>
    <x v="56"/>
    <x v="56"/>
    <x v="0"/>
    <x v="6"/>
  </r>
  <r>
    <x v="57"/>
    <x v="52"/>
    <x v="0"/>
    <x v="7"/>
    <x v="0"/>
    <x v="57"/>
    <x v="54"/>
    <x v="0"/>
    <x v="6"/>
    <x v="2"/>
    <x v="57"/>
    <x v="57"/>
    <x v="0"/>
    <x v="6"/>
  </r>
  <r>
    <x v="58"/>
    <x v="53"/>
    <x v="2"/>
    <x v="0"/>
    <x v="3"/>
    <x v="58"/>
    <x v="55"/>
    <x v="1"/>
    <x v="0"/>
    <x v="0"/>
    <x v="58"/>
    <x v="58"/>
    <x v="0"/>
    <x v="4"/>
  </r>
  <r>
    <x v="59"/>
    <x v="54"/>
    <x v="2"/>
    <x v="0"/>
    <x v="2"/>
    <x v="4"/>
    <x v="13"/>
    <x v="1"/>
    <x v="0"/>
    <x v="0"/>
    <x v="59"/>
    <x v="59"/>
    <x v="0"/>
    <x v="0"/>
  </r>
  <r>
    <x v="60"/>
    <x v="26"/>
    <x v="1"/>
    <x v="1"/>
    <x v="0"/>
    <x v="59"/>
    <x v="56"/>
    <x v="0"/>
    <x v="1"/>
    <x v="1"/>
    <x v="60"/>
    <x v="60"/>
    <x v="1"/>
    <x v="10"/>
  </r>
  <r>
    <x v="61"/>
    <x v="5"/>
    <x v="1"/>
    <x v="3"/>
    <x v="2"/>
    <x v="60"/>
    <x v="57"/>
    <x v="1"/>
    <x v="3"/>
    <x v="1"/>
    <x v="61"/>
    <x v="61"/>
    <x v="0"/>
    <x v="5"/>
  </r>
  <r>
    <x v="62"/>
    <x v="49"/>
    <x v="3"/>
    <x v="0"/>
    <x v="0"/>
    <x v="61"/>
    <x v="58"/>
    <x v="0"/>
    <x v="0"/>
    <x v="0"/>
    <x v="62"/>
    <x v="62"/>
    <x v="0"/>
    <x v="7"/>
  </r>
  <r>
    <x v="63"/>
    <x v="55"/>
    <x v="1"/>
    <x v="0"/>
    <x v="3"/>
    <x v="62"/>
    <x v="13"/>
    <x v="0"/>
    <x v="0"/>
    <x v="0"/>
    <x v="63"/>
    <x v="63"/>
    <x v="0"/>
    <x v="1"/>
  </r>
  <r>
    <x v="64"/>
    <x v="56"/>
    <x v="3"/>
    <x v="7"/>
    <x v="0"/>
    <x v="63"/>
    <x v="13"/>
    <x v="1"/>
    <x v="6"/>
    <x v="2"/>
    <x v="64"/>
    <x v="64"/>
    <x v="0"/>
    <x v="0"/>
  </r>
  <r>
    <x v="65"/>
    <x v="57"/>
    <x v="1"/>
    <x v="5"/>
    <x v="3"/>
    <x v="64"/>
    <x v="59"/>
    <x v="0"/>
    <x v="5"/>
    <x v="0"/>
    <x v="65"/>
    <x v="65"/>
    <x v="0"/>
    <x v="8"/>
  </r>
  <r>
    <x v="66"/>
    <x v="58"/>
    <x v="1"/>
    <x v="4"/>
    <x v="0"/>
    <x v="32"/>
    <x v="60"/>
    <x v="2"/>
    <x v="4"/>
    <x v="0"/>
    <x v="66"/>
    <x v="66"/>
    <x v="1"/>
    <x v="9"/>
  </r>
  <r>
    <x v="67"/>
    <x v="5"/>
    <x v="0"/>
    <x v="9"/>
    <x v="0"/>
    <x v="65"/>
    <x v="61"/>
    <x v="2"/>
    <x v="7"/>
    <x v="1"/>
    <x v="67"/>
    <x v="67"/>
    <x v="0"/>
    <x v="5"/>
  </r>
  <r>
    <x v="68"/>
    <x v="59"/>
    <x v="3"/>
    <x v="2"/>
    <x v="1"/>
    <x v="66"/>
    <x v="13"/>
    <x v="1"/>
    <x v="2"/>
    <x v="2"/>
    <x v="68"/>
    <x v="68"/>
    <x v="0"/>
    <x v="7"/>
  </r>
  <r>
    <x v="69"/>
    <x v="60"/>
    <x v="2"/>
    <x v="7"/>
    <x v="1"/>
    <x v="67"/>
    <x v="62"/>
    <x v="0"/>
    <x v="6"/>
    <x v="2"/>
    <x v="69"/>
    <x v="69"/>
    <x v="1"/>
    <x v="9"/>
  </r>
  <r>
    <x v="70"/>
    <x v="5"/>
    <x v="2"/>
    <x v="9"/>
    <x v="1"/>
    <x v="68"/>
    <x v="63"/>
    <x v="1"/>
    <x v="7"/>
    <x v="1"/>
    <x v="70"/>
    <x v="70"/>
    <x v="0"/>
    <x v="5"/>
  </r>
  <r>
    <x v="71"/>
    <x v="61"/>
    <x v="2"/>
    <x v="7"/>
    <x v="1"/>
    <x v="69"/>
    <x v="64"/>
    <x v="1"/>
    <x v="6"/>
    <x v="2"/>
    <x v="71"/>
    <x v="71"/>
    <x v="0"/>
    <x v="0"/>
  </r>
  <r>
    <x v="72"/>
    <x v="62"/>
    <x v="1"/>
    <x v="7"/>
    <x v="2"/>
    <x v="70"/>
    <x v="65"/>
    <x v="0"/>
    <x v="6"/>
    <x v="2"/>
    <x v="72"/>
    <x v="72"/>
    <x v="0"/>
    <x v="7"/>
  </r>
  <r>
    <x v="73"/>
    <x v="63"/>
    <x v="1"/>
    <x v="1"/>
    <x v="3"/>
    <x v="71"/>
    <x v="66"/>
    <x v="0"/>
    <x v="1"/>
    <x v="1"/>
    <x v="73"/>
    <x v="73"/>
    <x v="1"/>
    <x v="12"/>
  </r>
  <r>
    <x v="74"/>
    <x v="64"/>
    <x v="1"/>
    <x v="6"/>
    <x v="0"/>
    <x v="72"/>
    <x v="13"/>
    <x v="1"/>
    <x v="5"/>
    <x v="0"/>
    <x v="74"/>
    <x v="74"/>
    <x v="0"/>
    <x v="0"/>
  </r>
  <r>
    <x v="75"/>
    <x v="8"/>
    <x v="2"/>
    <x v="0"/>
    <x v="3"/>
    <x v="73"/>
    <x v="67"/>
    <x v="2"/>
    <x v="0"/>
    <x v="0"/>
    <x v="75"/>
    <x v="75"/>
    <x v="1"/>
    <x v="3"/>
  </r>
  <r>
    <x v="76"/>
    <x v="65"/>
    <x v="1"/>
    <x v="7"/>
    <x v="1"/>
    <x v="37"/>
    <x v="68"/>
    <x v="0"/>
    <x v="6"/>
    <x v="2"/>
    <x v="76"/>
    <x v="76"/>
    <x v="0"/>
    <x v="2"/>
  </r>
  <r>
    <x v="77"/>
    <x v="17"/>
    <x v="0"/>
    <x v="4"/>
    <x v="0"/>
    <x v="74"/>
    <x v="13"/>
    <x v="0"/>
    <x v="4"/>
    <x v="0"/>
    <x v="77"/>
    <x v="77"/>
    <x v="0"/>
    <x v="4"/>
  </r>
  <r>
    <x v="78"/>
    <x v="66"/>
    <x v="3"/>
    <x v="7"/>
    <x v="2"/>
    <x v="75"/>
    <x v="69"/>
    <x v="1"/>
    <x v="6"/>
    <x v="2"/>
    <x v="78"/>
    <x v="78"/>
    <x v="0"/>
    <x v="11"/>
  </r>
  <r>
    <x v="79"/>
    <x v="5"/>
    <x v="0"/>
    <x v="3"/>
    <x v="2"/>
    <x v="76"/>
    <x v="70"/>
    <x v="2"/>
    <x v="3"/>
    <x v="1"/>
    <x v="79"/>
    <x v="79"/>
    <x v="0"/>
    <x v="5"/>
  </r>
  <r>
    <x v="80"/>
    <x v="10"/>
    <x v="3"/>
    <x v="7"/>
    <x v="0"/>
    <x v="77"/>
    <x v="71"/>
    <x v="1"/>
    <x v="6"/>
    <x v="2"/>
    <x v="80"/>
    <x v="80"/>
    <x v="0"/>
    <x v="5"/>
  </r>
  <r>
    <x v="81"/>
    <x v="67"/>
    <x v="3"/>
    <x v="0"/>
    <x v="1"/>
    <x v="78"/>
    <x v="72"/>
    <x v="0"/>
    <x v="0"/>
    <x v="0"/>
    <x v="81"/>
    <x v="81"/>
    <x v="0"/>
    <x v="4"/>
  </r>
  <r>
    <x v="82"/>
    <x v="18"/>
    <x v="1"/>
    <x v="4"/>
    <x v="2"/>
    <x v="79"/>
    <x v="73"/>
    <x v="0"/>
    <x v="4"/>
    <x v="0"/>
    <x v="82"/>
    <x v="82"/>
    <x v="1"/>
    <x v="9"/>
  </r>
  <r>
    <x v="83"/>
    <x v="68"/>
    <x v="1"/>
    <x v="5"/>
    <x v="3"/>
    <x v="80"/>
    <x v="74"/>
    <x v="0"/>
    <x v="5"/>
    <x v="0"/>
    <x v="83"/>
    <x v="83"/>
    <x v="0"/>
    <x v="0"/>
  </r>
  <r>
    <x v="84"/>
    <x v="69"/>
    <x v="1"/>
    <x v="7"/>
    <x v="3"/>
    <x v="81"/>
    <x v="75"/>
    <x v="0"/>
    <x v="6"/>
    <x v="2"/>
    <x v="84"/>
    <x v="84"/>
    <x v="0"/>
    <x v="6"/>
  </r>
  <r>
    <x v="85"/>
    <x v="70"/>
    <x v="0"/>
    <x v="5"/>
    <x v="0"/>
    <x v="82"/>
    <x v="76"/>
    <x v="1"/>
    <x v="5"/>
    <x v="0"/>
    <x v="85"/>
    <x v="85"/>
    <x v="0"/>
    <x v="6"/>
  </r>
  <r>
    <x v="86"/>
    <x v="71"/>
    <x v="1"/>
    <x v="7"/>
    <x v="1"/>
    <x v="83"/>
    <x v="77"/>
    <x v="0"/>
    <x v="6"/>
    <x v="2"/>
    <x v="86"/>
    <x v="86"/>
    <x v="0"/>
    <x v="5"/>
  </r>
  <r>
    <x v="87"/>
    <x v="72"/>
    <x v="2"/>
    <x v="5"/>
    <x v="1"/>
    <x v="84"/>
    <x v="78"/>
    <x v="0"/>
    <x v="5"/>
    <x v="0"/>
    <x v="87"/>
    <x v="87"/>
    <x v="0"/>
    <x v="6"/>
  </r>
  <r>
    <x v="88"/>
    <x v="73"/>
    <x v="1"/>
    <x v="4"/>
    <x v="3"/>
    <x v="85"/>
    <x v="13"/>
    <x v="0"/>
    <x v="4"/>
    <x v="0"/>
    <x v="88"/>
    <x v="88"/>
    <x v="0"/>
    <x v="5"/>
  </r>
  <r>
    <x v="89"/>
    <x v="74"/>
    <x v="1"/>
    <x v="4"/>
    <x v="1"/>
    <x v="86"/>
    <x v="79"/>
    <x v="0"/>
    <x v="4"/>
    <x v="0"/>
    <x v="89"/>
    <x v="89"/>
    <x v="1"/>
    <x v="10"/>
  </r>
  <r>
    <x v="90"/>
    <x v="75"/>
    <x v="2"/>
    <x v="7"/>
    <x v="2"/>
    <x v="87"/>
    <x v="80"/>
    <x v="1"/>
    <x v="6"/>
    <x v="2"/>
    <x v="90"/>
    <x v="90"/>
    <x v="0"/>
    <x v="4"/>
  </r>
  <r>
    <x v="91"/>
    <x v="76"/>
    <x v="0"/>
    <x v="0"/>
    <x v="2"/>
    <x v="47"/>
    <x v="81"/>
    <x v="1"/>
    <x v="0"/>
    <x v="0"/>
    <x v="91"/>
    <x v="91"/>
    <x v="0"/>
    <x v="5"/>
  </r>
  <r>
    <x v="92"/>
    <x v="77"/>
    <x v="0"/>
    <x v="6"/>
    <x v="0"/>
    <x v="88"/>
    <x v="82"/>
    <x v="1"/>
    <x v="5"/>
    <x v="0"/>
    <x v="92"/>
    <x v="92"/>
    <x v="1"/>
    <x v="10"/>
  </r>
  <r>
    <x v="93"/>
    <x v="78"/>
    <x v="2"/>
    <x v="8"/>
    <x v="0"/>
    <x v="89"/>
    <x v="83"/>
    <x v="1"/>
    <x v="0"/>
    <x v="0"/>
    <x v="93"/>
    <x v="93"/>
    <x v="0"/>
    <x v="1"/>
  </r>
  <r>
    <x v="94"/>
    <x v="79"/>
    <x v="2"/>
    <x v="7"/>
    <x v="1"/>
    <x v="90"/>
    <x v="13"/>
    <x v="0"/>
    <x v="6"/>
    <x v="2"/>
    <x v="94"/>
    <x v="94"/>
    <x v="0"/>
    <x v="7"/>
  </r>
  <r>
    <x v="95"/>
    <x v="80"/>
    <x v="2"/>
    <x v="5"/>
    <x v="0"/>
    <x v="72"/>
    <x v="84"/>
    <x v="1"/>
    <x v="5"/>
    <x v="0"/>
    <x v="95"/>
    <x v="95"/>
    <x v="0"/>
    <x v="5"/>
  </r>
  <r>
    <x v="96"/>
    <x v="81"/>
    <x v="1"/>
    <x v="0"/>
    <x v="3"/>
    <x v="43"/>
    <x v="85"/>
    <x v="0"/>
    <x v="0"/>
    <x v="0"/>
    <x v="96"/>
    <x v="96"/>
    <x v="0"/>
    <x v="6"/>
  </r>
  <r>
    <x v="97"/>
    <x v="82"/>
    <x v="1"/>
    <x v="3"/>
    <x v="2"/>
    <x v="91"/>
    <x v="86"/>
    <x v="1"/>
    <x v="3"/>
    <x v="1"/>
    <x v="97"/>
    <x v="97"/>
    <x v="1"/>
    <x v="10"/>
  </r>
  <r>
    <x v="98"/>
    <x v="83"/>
    <x v="1"/>
    <x v="7"/>
    <x v="3"/>
    <x v="92"/>
    <x v="87"/>
    <x v="0"/>
    <x v="6"/>
    <x v="2"/>
    <x v="98"/>
    <x v="98"/>
    <x v="0"/>
    <x v="4"/>
  </r>
  <r>
    <x v="99"/>
    <x v="26"/>
    <x v="1"/>
    <x v="1"/>
    <x v="3"/>
    <x v="93"/>
    <x v="13"/>
    <x v="0"/>
    <x v="1"/>
    <x v="1"/>
    <x v="99"/>
    <x v="99"/>
    <x v="1"/>
    <x v="10"/>
  </r>
  <r>
    <x v="100"/>
    <x v="15"/>
    <x v="0"/>
    <x v="0"/>
    <x v="1"/>
    <x v="94"/>
    <x v="88"/>
    <x v="0"/>
    <x v="0"/>
    <x v="0"/>
    <x v="100"/>
    <x v="100"/>
    <x v="1"/>
    <x v="3"/>
  </r>
  <r>
    <x v="101"/>
    <x v="84"/>
    <x v="3"/>
    <x v="4"/>
    <x v="0"/>
    <x v="95"/>
    <x v="13"/>
    <x v="0"/>
    <x v="4"/>
    <x v="0"/>
    <x v="101"/>
    <x v="101"/>
    <x v="0"/>
    <x v="2"/>
  </r>
  <r>
    <x v="102"/>
    <x v="85"/>
    <x v="3"/>
    <x v="3"/>
    <x v="0"/>
    <x v="85"/>
    <x v="13"/>
    <x v="0"/>
    <x v="3"/>
    <x v="1"/>
    <x v="88"/>
    <x v="88"/>
    <x v="1"/>
    <x v="10"/>
  </r>
  <r>
    <x v="103"/>
    <x v="86"/>
    <x v="1"/>
    <x v="7"/>
    <x v="2"/>
    <x v="96"/>
    <x v="89"/>
    <x v="1"/>
    <x v="6"/>
    <x v="2"/>
    <x v="102"/>
    <x v="102"/>
    <x v="1"/>
    <x v="9"/>
  </r>
  <r>
    <x v="104"/>
    <x v="5"/>
    <x v="2"/>
    <x v="7"/>
    <x v="2"/>
    <x v="97"/>
    <x v="90"/>
    <x v="1"/>
    <x v="6"/>
    <x v="2"/>
    <x v="103"/>
    <x v="103"/>
    <x v="0"/>
    <x v="5"/>
  </r>
  <r>
    <x v="105"/>
    <x v="87"/>
    <x v="0"/>
    <x v="7"/>
    <x v="0"/>
    <x v="40"/>
    <x v="91"/>
    <x v="0"/>
    <x v="6"/>
    <x v="2"/>
    <x v="104"/>
    <x v="104"/>
    <x v="0"/>
    <x v="8"/>
  </r>
  <r>
    <x v="106"/>
    <x v="88"/>
    <x v="3"/>
    <x v="5"/>
    <x v="2"/>
    <x v="98"/>
    <x v="13"/>
    <x v="2"/>
    <x v="5"/>
    <x v="0"/>
    <x v="105"/>
    <x v="105"/>
    <x v="0"/>
    <x v="8"/>
  </r>
  <r>
    <x v="107"/>
    <x v="89"/>
    <x v="1"/>
    <x v="7"/>
    <x v="0"/>
    <x v="47"/>
    <x v="92"/>
    <x v="1"/>
    <x v="6"/>
    <x v="2"/>
    <x v="106"/>
    <x v="106"/>
    <x v="1"/>
    <x v="10"/>
  </r>
  <r>
    <x v="108"/>
    <x v="90"/>
    <x v="3"/>
    <x v="6"/>
    <x v="0"/>
    <x v="99"/>
    <x v="93"/>
    <x v="0"/>
    <x v="5"/>
    <x v="0"/>
    <x v="107"/>
    <x v="107"/>
    <x v="1"/>
    <x v="9"/>
  </r>
  <r>
    <x v="109"/>
    <x v="91"/>
    <x v="1"/>
    <x v="1"/>
    <x v="2"/>
    <x v="100"/>
    <x v="94"/>
    <x v="0"/>
    <x v="1"/>
    <x v="1"/>
    <x v="108"/>
    <x v="108"/>
    <x v="0"/>
    <x v="8"/>
  </r>
  <r>
    <x v="110"/>
    <x v="84"/>
    <x v="2"/>
    <x v="4"/>
    <x v="3"/>
    <x v="101"/>
    <x v="95"/>
    <x v="1"/>
    <x v="4"/>
    <x v="0"/>
    <x v="109"/>
    <x v="109"/>
    <x v="0"/>
    <x v="2"/>
  </r>
  <r>
    <x v="111"/>
    <x v="92"/>
    <x v="3"/>
    <x v="8"/>
    <x v="0"/>
    <x v="102"/>
    <x v="96"/>
    <x v="1"/>
    <x v="0"/>
    <x v="0"/>
    <x v="110"/>
    <x v="110"/>
    <x v="0"/>
    <x v="7"/>
  </r>
  <r>
    <x v="112"/>
    <x v="93"/>
    <x v="3"/>
    <x v="4"/>
    <x v="0"/>
    <x v="103"/>
    <x v="97"/>
    <x v="0"/>
    <x v="4"/>
    <x v="0"/>
    <x v="111"/>
    <x v="111"/>
    <x v="0"/>
    <x v="0"/>
  </r>
  <r>
    <x v="113"/>
    <x v="94"/>
    <x v="2"/>
    <x v="3"/>
    <x v="0"/>
    <x v="104"/>
    <x v="98"/>
    <x v="2"/>
    <x v="3"/>
    <x v="1"/>
    <x v="112"/>
    <x v="112"/>
    <x v="1"/>
    <x v="9"/>
  </r>
  <r>
    <x v="114"/>
    <x v="60"/>
    <x v="1"/>
    <x v="4"/>
    <x v="0"/>
    <x v="105"/>
    <x v="99"/>
    <x v="0"/>
    <x v="4"/>
    <x v="0"/>
    <x v="113"/>
    <x v="113"/>
    <x v="1"/>
    <x v="9"/>
  </r>
  <r>
    <x v="115"/>
    <x v="95"/>
    <x v="2"/>
    <x v="5"/>
    <x v="1"/>
    <x v="106"/>
    <x v="100"/>
    <x v="1"/>
    <x v="5"/>
    <x v="0"/>
    <x v="114"/>
    <x v="114"/>
    <x v="1"/>
    <x v="9"/>
  </r>
  <r>
    <x v="116"/>
    <x v="96"/>
    <x v="2"/>
    <x v="4"/>
    <x v="3"/>
    <x v="107"/>
    <x v="101"/>
    <x v="1"/>
    <x v="4"/>
    <x v="0"/>
    <x v="115"/>
    <x v="115"/>
    <x v="0"/>
    <x v="0"/>
  </r>
  <r>
    <x v="117"/>
    <x v="97"/>
    <x v="1"/>
    <x v="7"/>
    <x v="0"/>
    <x v="108"/>
    <x v="102"/>
    <x v="1"/>
    <x v="6"/>
    <x v="2"/>
    <x v="116"/>
    <x v="116"/>
    <x v="1"/>
    <x v="10"/>
  </r>
  <r>
    <x v="118"/>
    <x v="72"/>
    <x v="1"/>
    <x v="3"/>
    <x v="3"/>
    <x v="109"/>
    <x v="103"/>
    <x v="2"/>
    <x v="3"/>
    <x v="1"/>
    <x v="117"/>
    <x v="117"/>
    <x v="0"/>
    <x v="6"/>
  </r>
  <r>
    <x v="119"/>
    <x v="98"/>
    <x v="3"/>
    <x v="2"/>
    <x v="0"/>
    <x v="110"/>
    <x v="104"/>
    <x v="0"/>
    <x v="2"/>
    <x v="2"/>
    <x v="118"/>
    <x v="118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B9" firstHeaderRow="1" firstDataRow="1" firstDataCol="1"/>
  <pivotFields count="14">
    <pivotField compact="0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compact="0" numFmtId="180" showAll="0">
      <items count="100">
        <item x="45"/>
        <item x="51"/>
        <item x="63"/>
        <item x="28"/>
        <item x="43"/>
        <item x="3"/>
        <item x="15"/>
        <item x="48"/>
        <item x="8"/>
        <item x="37"/>
        <item x="44"/>
        <item x="33"/>
        <item x="60"/>
        <item x="94"/>
        <item x="46"/>
        <item x="23"/>
        <item x="95"/>
        <item x="86"/>
        <item x="58"/>
        <item x="32"/>
        <item x="40"/>
        <item x="18"/>
        <item x="90"/>
        <item x="89"/>
        <item x="97"/>
        <item x="85"/>
        <item x="77"/>
        <item x="82"/>
        <item x="26"/>
        <item x="74"/>
        <item x="52"/>
        <item x="81"/>
        <item x="20"/>
        <item x="22"/>
        <item x="7"/>
        <item x="19"/>
        <item x="72"/>
        <item x="70"/>
        <item x="69"/>
        <item x="14"/>
        <item x="76"/>
        <item x="71"/>
        <item x="10"/>
        <item x="27"/>
        <item x="80"/>
        <item x="73"/>
        <item x="5"/>
        <item x="61"/>
        <item x="64"/>
        <item x="98"/>
        <item x="47"/>
        <item x="68"/>
        <item x="93"/>
        <item x="30"/>
        <item x="54"/>
        <item x="96"/>
        <item x="34"/>
        <item x="56"/>
        <item x="0"/>
        <item x="16"/>
        <item x="91"/>
        <item x="57"/>
        <item x="87"/>
        <item x="13"/>
        <item x="38"/>
        <item x="11"/>
        <item x="88"/>
        <item x="1"/>
        <item x="31"/>
        <item x="39"/>
        <item x="78"/>
        <item x="55"/>
        <item x="75"/>
        <item x="4"/>
        <item x="41"/>
        <item x="53"/>
        <item x="67"/>
        <item x="42"/>
        <item x="83"/>
        <item x="12"/>
        <item x="35"/>
        <item x="17"/>
        <item x="6"/>
        <item x="65"/>
        <item x="36"/>
        <item x="84"/>
        <item x="2"/>
        <item x="62"/>
        <item x="9"/>
        <item x="49"/>
        <item x="25"/>
        <item x="21"/>
        <item x="79"/>
        <item x="92"/>
        <item x="24"/>
        <item x="59"/>
        <item x="29"/>
        <item x="66"/>
        <item x="50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axis="axisRow" measureFilter="1" compact="0" sortType="ascending" showAll="0">
      <items count="11">
        <item x="2"/>
        <item x="7"/>
        <item x="3"/>
        <item x="1"/>
        <item x="0"/>
        <item x="4"/>
        <item x="8"/>
        <item x="6"/>
        <item x="9"/>
        <item x="5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numFmtId="182" showAll="0"/>
    <pivotField compact="0" showAll="0"/>
    <pivotField compact="0" showAll="0"/>
    <pivotField compact="0" showAll="0"/>
    <pivotField compact="0" numFmtId="183" showAll="0"/>
    <pivotField dataField="1" compact="0" showAll="0">
      <items count="120">
        <item x="32"/>
        <item x="64"/>
        <item x="77"/>
        <item x="101"/>
        <item x="42"/>
        <item x="13"/>
        <item x="99"/>
        <item x="94"/>
        <item x="105"/>
        <item x="63"/>
        <item x="68"/>
        <item x="59"/>
        <item x="39"/>
        <item x="74"/>
        <item x="88"/>
        <item x="62"/>
        <item x="92"/>
        <item x="109"/>
        <item x="30"/>
        <item x="27"/>
        <item x="91"/>
        <item x="26"/>
        <item x="66"/>
        <item x="71"/>
        <item x="89"/>
        <item x="102"/>
        <item x="3"/>
        <item x="50"/>
        <item x="55"/>
        <item x="20"/>
        <item x="72"/>
        <item x="5"/>
        <item x="38"/>
        <item x="29"/>
        <item x="103"/>
        <item x="0"/>
        <item x="47"/>
        <item x="60"/>
        <item x="11"/>
        <item x="52"/>
        <item x="96"/>
        <item x="24"/>
        <item x="108"/>
        <item x="113"/>
        <item x="97"/>
        <item x="19"/>
        <item x="61"/>
        <item x="116"/>
        <item x="78"/>
        <item x="67"/>
        <item x="58"/>
        <item x="23"/>
        <item x="118"/>
        <item x="10"/>
        <item x="28"/>
        <item x="31"/>
        <item x="85"/>
        <item x="114"/>
        <item x="115"/>
        <item x="84"/>
        <item x="9"/>
        <item x="51"/>
        <item x="15"/>
        <item x="80"/>
        <item x="41"/>
        <item x="14"/>
        <item x="17"/>
        <item x="100"/>
        <item x="35"/>
        <item x="69"/>
        <item x="18"/>
        <item x="46"/>
        <item x="7"/>
        <item x="79"/>
        <item x="25"/>
        <item x="82"/>
        <item x="54"/>
        <item x="37"/>
        <item x="75"/>
        <item x="90"/>
        <item x="43"/>
        <item x="83"/>
        <item x="81"/>
        <item x="34"/>
        <item x="53"/>
        <item x="45"/>
        <item x="44"/>
        <item x="93"/>
        <item x="33"/>
        <item x="106"/>
        <item x="12"/>
        <item x="65"/>
        <item x="1"/>
        <item x="2"/>
        <item x="98"/>
        <item x="6"/>
        <item x="49"/>
        <item x="21"/>
        <item x="73"/>
        <item x="56"/>
        <item x="4"/>
        <item x="86"/>
        <item x="16"/>
        <item x="95"/>
        <item x="117"/>
        <item x="87"/>
        <item x="107"/>
        <item x="36"/>
        <item x="76"/>
        <item x="112"/>
        <item x="57"/>
        <item x="111"/>
        <item x="22"/>
        <item x="8"/>
        <item x="70"/>
        <item x="48"/>
        <item x="110"/>
        <item x="40"/>
        <item x="104"/>
        <item t="default"/>
      </items>
    </pivotField>
    <pivotField compact="0" showAll="0"/>
    <pivotField compact="0" showAll="0"/>
  </pivotFields>
  <rowFields count="1">
    <field x="3"/>
  </rowFields>
  <rowItems count="6">
    <i>
      <x v="7"/>
    </i>
    <i>
      <x v="6"/>
    </i>
    <i>
      <x v="1"/>
    </i>
    <i>
      <x v="9"/>
    </i>
    <i>
      <x v="8"/>
    </i>
    <i t="grand">
      <x/>
    </i>
  </rowItems>
  <colItems count="1">
    <i/>
  </colItems>
  <dataFields count="1">
    <dataField name="Average of Cost Per Unit" fld="11" subtotal="average" baseField="0" baseItem="0"/>
  </dataFields>
  <formats count="8">
    <format dxfId="0">
      <pivotArea grandRow="1" collapsedLevelsAreSubtotals="1" fieldPosition="0"/>
    </format>
    <format dxfId="1">
      <pivotArea grandRow="1" collapsedLevelsAreSubtotals="1" fieldPosition="0"/>
    </format>
    <format dxfId="2">
      <pivotArea grandRow="1" collapsedLevelsAreSubtotals="1" fieldPosition="0"/>
    </format>
    <format dxfId="3">
      <pivotArea grandRow="1" collapsedLevelsAreSubtotals="1" fieldPosition="0"/>
    </format>
    <format dxfId="4">
      <pivotArea grandRow="1" collapsedLevelsAreSubtotals="1" fieldPosition="0"/>
    </format>
    <format dxfId="5">
      <pivotArea collapsedLevelsAreSubtotals="1" fieldPosition="0"/>
    </format>
    <format dxfId="6">
      <pivotArea collapsedLevelsAreSubtotals="1" fieldPosition="0"/>
    </format>
    <format dxfId="7">
      <pivotArea collapsedLevelsAreSubtotals="1" fieldPosition="0"/>
    </format>
  </formats>
  <pivotTableStyleInfo name="PivotStyleLight16" showRowHeaders="1" showColHeaders="1" showLastColumn="1"/>
  <filters count="1">
    <filter evalOrder="-1" fld="3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4">
    <pivotField compact="0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compact="0" numFmtId="180" showAll="0">
      <items count="100">
        <item x="45"/>
        <item x="51"/>
        <item x="63"/>
        <item x="28"/>
        <item x="43"/>
        <item x="3"/>
        <item x="15"/>
        <item x="48"/>
        <item x="8"/>
        <item x="37"/>
        <item x="44"/>
        <item x="33"/>
        <item x="60"/>
        <item x="94"/>
        <item x="46"/>
        <item x="23"/>
        <item x="95"/>
        <item x="86"/>
        <item x="58"/>
        <item x="32"/>
        <item x="40"/>
        <item x="18"/>
        <item x="90"/>
        <item x="89"/>
        <item x="97"/>
        <item x="85"/>
        <item x="77"/>
        <item x="82"/>
        <item x="26"/>
        <item x="74"/>
        <item x="52"/>
        <item x="81"/>
        <item x="20"/>
        <item x="22"/>
        <item x="7"/>
        <item x="19"/>
        <item x="72"/>
        <item x="70"/>
        <item x="69"/>
        <item x="14"/>
        <item x="76"/>
        <item x="71"/>
        <item x="10"/>
        <item x="27"/>
        <item x="80"/>
        <item x="73"/>
        <item x="5"/>
        <item x="61"/>
        <item x="64"/>
        <item x="98"/>
        <item x="47"/>
        <item x="68"/>
        <item x="93"/>
        <item x="30"/>
        <item x="54"/>
        <item x="96"/>
        <item x="34"/>
        <item x="56"/>
        <item x="0"/>
        <item x="16"/>
        <item x="91"/>
        <item x="57"/>
        <item x="87"/>
        <item x="13"/>
        <item x="38"/>
        <item x="11"/>
        <item x="88"/>
        <item x="1"/>
        <item x="31"/>
        <item x="39"/>
        <item x="78"/>
        <item x="55"/>
        <item x="75"/>
        <item x="4"/>
        <item x="41"/>
        <item x="53"/>
        <item x="67"/>
        <item x="42"/>
        <item x="83"/>
        <item x="12"/>
        <item x="35"/>
        <item x="17"/>
        <item x="6"/>
        <item x="65"/>
        <item x="36"/>
        <item x="84"/>
        <item x="2"/>
        <item x="62"/>
        <item x="9"/>
        <item x="49"/>
        <item x="25"/>
        <item x="21"/>
        <item x="79"/>
        <item x="92"/>
        <item x="24"/>
        <item x="59"/>
        <item x="29"/>
        <item x="66"/>
        <item x="50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compact="0" showAll="0">
      <items count="11">
        <item x="5"/>
        <item x="9"/>
        <item x="6"/>
        <item x="8"/>
        <item x="4"/>
        <item x="0"/>
        <item x="1"/>
        <item x="3"/>
        <item x="7"/>
        <item x="2"/>
        <item t="default"/>
      </items>
    </pivotField>
    <pivotField axis="axisRow" compact="0" sortType="ascending" showAll="0">
      <items count="5">
        <item x="2"/>
        <item x="1"/>
        <item x="3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12">
        <item x="77"/>
        <item x="40"/>
        <item x="8"/>
        <item x="82"/>
        <item x="102"/>
        <item x="52"/>
        <item x="6"/>
        <item x="48"/>
        <item x="44"/>
        <item x="103"/>
        <item x="80"/>
        <item x="99"/>
        <item x="22"/>
        <item x="68"/>
        <item x="85"/>
        <item x="37"/>
        <item x="104"/>
        <item x="72"/>
        <item x="78"/>
        <item x="36"/>
        <item x="59"/>
        <item x="100"/>
        <item x="57"/>
        <item x="39"/>
        <item x="89"/>
        <item x="49"/>
        <item x="4"/>
        <item x="21"/>
        <item x="66"/>
        <item x="62"/>
        <item x="64"/>
        <item x="81"/>
        <item x="15"/>
        <item x="109"/>
        <item x="73"/>
        <item x="83"/>
        <item x="71"/>
        <item x="47"/>
        <item x="92"/>
        <item x="69"/>
        <item x="91"/>
        <item x="45"/>
        <item x="98"/>
        <item x="16"/>
        <item x="38"/>
        <item x="20"/>
        <item x="56"/>
        <item x="34"/>
        <item x="84"/>
        <item x="70"/>
        <item x="46"/>
        <item x="108"/>
        <item x="29"/>
        <item x="61"/>
        <item x="90"/>
        <item x="93"/>
        <item x="65"/>
        <item x="97"/>
        <item x="101"/>
        <item x="58"/>
        <item x="19"/>
        <item x="13"/>
        <item x="33"/>
        <item x="67"/>
        <item x="51"/>
        <item x="55"/>
        <item x="42"/>
        <item x="50"/>
        <item x="96"/>
        <item x="17"/>
        <item x="88"/>
        <item x="43"/>
        <item x="30"/>
        <item x="95"/>
        <item x="76"/>
        <item x="41"/>
        <item x="14"/>
        <item x="94"/>
        <item x="87"/>
        <item x="31"/>
        <item x="9"/>
        <item x="5"/>
        <item x="86"/>
        <item x="25"/>
        <item x="0"/>
        <item x="26"/>
        <item x="53"/>
        <item x="1"/>
        <item x="12"/>
        <item x="24"/>
        <item x="18"/>
        <item x="27"/>
        <item x="7"/>
        <item x="23"/>
        <item x="3"/>
        <item x="35"/>
        <item x="11"/>
        <item x="74"/>
        <item x="2"/>
        <item x="54"/>
        <item x="10"/>
        <item x="63"/>
        <item x="110"/>
        <item x="28"/>
        <item x="32"/>
        <item x="75"/>
        <item x="107"/>
        <item x="60"/>
        <item x="105"/>
        <item x="79"/>
        <item x="106"/>
        <item t="default"/>
      </items>
    </pivotField>
    <pivotField compact="0" numFmtId="182" showAll="0">
      <items count="106">
        <item x="13"/>
        <item x="71"/>
        <item x="58"/>
        <item x="49"/>
        <item x="82"/>
        <item x="95"/>
        <item x="81"/>
        <item x="30"/>
        <item x="76"/>
        <item x="64"/>
        <item x="27"/>
        <item x="56"/>
        <item x="74"/>
        <item x="41"/>
        <item x="94"/>
        <item x="20"/>
        <item x="6"/>
        <item x="44"/>
        <item x="65"/>
        <item x="89"/>
        <item x="37"/>
        <item x="79"/>
        <item x="26"/>
        <item x="47"/>
        <item x="52"/>
        <item x="36"/>
        <item x="29"/>
        <item x="60"/>
        <item x="72"/>
        <item x="90"/>
        <item x="3"/>
        <item x="86"/>
        <item x="75"/>
        <item x="15"/>
        <item x="5"/>
        <item x="0"/>
        <item x="83"/>
        <item x="102"/>
        <item x="85"/>
        <item x="67"/>
        <item x="93"/>
        <item x="8"/>
        <item x="11"/>
        <item x="19"/>
        <item x="61"/>
        <item x="59"/>
        <item x="55"/>
        <item x="46"/>
        <item x="92"/>
        <item x="24"/>
        <item x="97"/>
        <item x="96"/>
        <item x="42"/>
        <item x="43"/>
        <item x="48"/>
        <item x="21"/>
        <item x="33"/>
        <item x="68"/>
        <item x="84"/>
        <item x="38"/>
        <item x="45"/>
        <item x="87"/>
        <item x="62"/>
        <item x="39"/>
        <item x="31"/>
        <item x="17"/>
        <item x="9"/>
        <item x="14"/>
        <item x="98"/>
        <item x="88"/>
        <item x="4"/>
        <item x="66"/>
        <item x="22"/>
        <item x="99"/>
        <item x="23"/>
        <item x="35"/>
        <item x="57"/>
        <item x="70"/>
        <item x="69"/>
        <item x="40"/>
        <item x="104"/>
        <item x="10"/>
        <item x="63"/>
        <item x="25"/>
        <item x="80"/>
        <item x="32"/>
        <item x="28"/>
        <item x="34"/>
        <item x="18"/>
        <item x="101"/>
        <item x="77"/>
        <item x="7"/>
        <item x="103"/>
        <item x="91"/>
        <item x="53"/>
        <item x="50"/>
        <item x="54"/>
        <item x="51"/>
        <item x="12"/>
        <item x="100"/>
        <item x="16"/>
        <item x="73"/>
        <item x="1"/>
        <item x="78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">
        <item x="0"/>
        <item x="4"/>
        <item x="5"/>
        <item x="2"/>
        <item x="6"/>
        <item x="7"/>
        <item x="1"/>
        <item x="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numFmtId="183" showAll="0">
      <items count="120">
        <item x="32"/>
        <item x="64"/>
        <item x="77"/>
        <item x="101"/>
        <item x="42"/>
        <item x="13"/>
        <item x="99"/>
        <item x="94"/>
        <item x="105"/>
        <item x="63"/>
        <item x="68"/>
        <item x="59"/>
        <item x="39"/>
        <item x="74"/>
        <item x="88"/>
        <item x="62"/>
        <item x="92"/>
        <item x="109"/>
        <item x="30"/>
        <item x="27"/>
        <item x="91"/>
        <item x="26"/>
        <item x="66"/>
        <item x="71"/>
        <item x="89"/>
        <item x="102"/>
        <item x="3"/>
        <item x="50"/>
        <item x="55"/>
        <item x="20"/>
        <item x="72"/>
        <item x="5"/>
        <item x="38"/>
        <item x="29"/>
        <item x="103"/>
        <item x="0"/>
        <item x="47"/>
        <item x="60"/>
        <item x="11"/>
        <item x="52"/>
        <item x="96"/>
        <item x="24"/>
        <item x="108"/>
        <item x="113"/>
        <item x="97"/>
        <item x="19"/>
        <item x="61"/>
        <item x="116"/>
        <item x="78"/>
        <item x="67"/>
        <item x="58"/>
        <item x="23"/>
        <item x="118"/>
        <item x="10"/>
        <item x="28"/>
        <item x="31"/>
        <item x="85"/>
        <item x="114"/>
        <item x="115"/>
        <item x="84"/>
        <item x="9"/>
        <item x="51"/>
        <item x="15"/>
        <item x="80"/>
        <item x="41"/>
        <item x="14"/>
        <item x="17"/>
        <item x="100"/>
        <item x="35"/>
        <item x="69"/>
        <item x="18"/>
        <item x="46"/>
        <item x="7"/>
        <item x="79"/>
        <item x="25"/>
        <item x="82"/>
        <item x="54"/>
        <item x="37"/>
        <item x="75"/>
        <item x="90"/>
        <item x="43"/>
        <item x="83"/>
        <item x="81"/>
        <item x="34"/>
        <item x="53"/>
        <item x="45"/>
        <item x="44"/>
        <item x="93"/>
        <item x="33"/>
        <item x="106"/>
        <item x="12"/>
        <item x="65"/>
        <item x="1"/>
        <item x="2"/>
        <item x="98"/>
        <item x="6"/>
        <item x="49"/>
        <item x="21"/>
        <item x="73"/>
        <item x="56"/>
        <item x="4"/>
        <item x="86"/>
        <item x="16"/>
        <item x="95"/>
        <item x="117"/>
        <item x="87"/>
        <item x="107"/>
        <item x="36"/>
        <item x="76"/>
        <item x="112"/>
        <item x="57"/>
        <item x="111"/>
        <item x="22"/>
        <item x="8"/>
        <item x="70"/>
        <item x="48"/>
        <item x="110"/>
        <item x="40"/>
        <item x="104"/>
        <item t="default"/>
      </items>
    </pivotField>
    <pivotField dataField="1" compact="0" showAll="0">
      <items count="120">
        <item x="32"/>
        <item x="64"/>
        <item x="77"/>
        <item x="101"/>
        <item x="42"/>
        <item x="13"/>
        <item x="99"/>
        <item x="94"/>
        <item x="105"/>
        <item x="63"/>
        <item x="68"/>
        <item x="59"/>
        <item x="39"/>
        <item x="74"/>
        <item x="88"/>
        <item x="62"/>
        <item x="92"/>
        <item x="109"/>
        <item x="30"/>
        <item x="27"/>
        <item x="91"/>
        <item x="26"/>
        <item x="66"/>
        <item x="71"/>
        <item x="89"/>
        <item x="102"/>
        <item x="3"/>
        <item x="50"/>
        <item x="55"/>
        <item x="20"/>
        <item x="72"/>
        <item x="5"/>
        <item x="38"/>
        <item x="29"/>
        <item x="103"/>
        <item x="0"/>
        <item x="47"/>
        <item x="60"/>
        <item x="11"/>
        <item x="52"/>
        <item x="96"/>
        <item x="24"/>
        <item x="108"/>
        <item x="113"/>
        <item x="97"/>
        <item x="19"/>
        <item x="61"/>
        <item x="116"/>
        <item x="78"/>
        <item x="67"/>
        <item x="58"/>
        <item x="23"/>
        <item x="118"/>
        <item x="10"/>
        <item x="28"/>
        <item x="31"/>
        <item x="85"/>
        <item x="114"/>
        <item x="115"/>
        <item x="84"/>
        <item x="9"/>
        <item x="51"/>
        <item x="15"/>
        <item x="80"/>
        <item x="41"/>
        <item x="14"/>
        <item x="17"/>
        <item x="100"/>
        <item x="35"/>
        <item x="69"/>
        <item x="18"/>
        <item x="46"/>
        <item x="7"/>
        <item x="79"/>
        <item x="25"/>
        <item x="82"/>
        <item x="54"/>
        <item x="37"/>
        <item x="75"/>
        <item x="90"/>
        <item x="43"/>
        <item x="83"/>
        <item x="81"/>
        <item x="34"/>
        <item x="53"/>
        <item x="45"/>
        <item x="44"/>
        <item x="93"/>
        <item x="33"/>
        <item x="106"/>
        <item x="12"/>
        <item x="65"/>
        <item x="1"/>
        <item x="2"/>
        <item x="98"/>
        <item x="6"/>
        <item x="49"/>
        <item x="21"/>
        <item x="73"/>
        <item x="56"/>
        <item x="4"/>
        <item x="86"/>
        <item x="16"/>
        <item x="95"/>
        <item x="117"/>
        <item x="87"/>
        <item x="107"/>
        <item x="36"/>
        <item x="76"/>
        <item x="112"/>
        <item x="57"/>
        <item x="111"/>
        <item x="22"/>
        <item x="8"/>
        <item x="70"/>
        <item x="48"/>
        <item x="110"/>
        <item x="40"/>
        <item x="104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14">
        <item x="8"/>
        <item x="7"/>
        <item x="10"/>
        <item x="5"/>
        <item x="6"/>
        <item x="2"/>
        <item x="4"/>
        <item x="0"/>
        <item x="1"/>
        <item x="9"/>
        <item x="3"/>
        <item x="12"/>
        <item x="11"/>
        <item t="default"/>
      </items>
    </pivotField>
  </pivotFields>
  <rowFields count="1">
    <field x="4"/>
  </rowFields>
  <rowItems count="5">
    <i>
      <x v="2"/>
    </i>
    <i>
      <x/>
    </i>
    <i>
      <x v="3"/>
    </i>
    <i>
      <x v="1"/>
    </i>
    <i t="grand">
      <x/>
    </i>
  </rowItems>
  <colItems count="1">
    <i/>
  </colItems>
  <dataFields count="1">
    <dataField name="Average of Cost Per Unit" fld="11" subtotal="average" baseField="0" baseItem="0"/>
  </dataFields>
  <formats count="2">
    <format dxfId="8">
      <pivotArea collapsedLevelsAreSubtotals="1" fieldPosition="0"/>
    </format>
    <format dxfId="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2">
  <location ref="A3:B9" firstHeaderRow="1" firstDataRow="1" firstDataCol="1"/>
  <pivotFields count="11">
    <pivotField dataField="1" compact="0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compact="0" numFmtId="180" showAll="0">
      <items count="100">
        <item x="45"/>
        <item x="51"/>
        <item x="63"/>
        <item x="28"/>
        <item x="43"/>
        <item x="3"/>
        <item x="15"/>
        <item x="48"/>
        <item x="8"/>
        <item x="37"/>
        <item x="44"/>
        <item x="33"/>
        <item x="60"/>
        <item x="94"/>
        <item x="46"/>
        <item x="23"/>
        <item x="95"/>
        <item x="86"/>
        <item x="58"/>
        <item x="32"/>
        <item x="40"/>
        <item x="18"/>
        <item x="90"/>
        <item x="89"/>
        <item x="97"/>
        <item x="85"/>
        <item x="77"/>
        <item x="82"/>
        <item x="26"/>
        <item x="74"/>
        <item x="52"/>
        <item x="81"/>
        <item x="20"/>
        <item x="22"/>
        <item x="7"/>
        <item x="19"/>
        <item x="72"/>
        <item x="70"/>
        <item x="69"/>
        <item x="14"/>
        <item x="76"/>
        <item x="71"/>
        <item x="10"/>
        <item x="27"/>
        <item x="80"/>
        <item x="73"/>
        <item x="5"/>
        <item x="61"/>
        <item x="64"/>
        <item x="98"/>
        <item x="47"/>
        <item x="68"/>
        <item x="93"/>
        <item x="30"/>
        <item x="54"/>
        <item x="96"/>
        <item x="34"/>
        <item x="56"/>
        <item x="0"/>
        <item x="16"/>
        <item x="91"/>
        <item x="57"/>
        <item x="87"/>
        <item x="13"/>
        <item x="38"/>
        <item x="11"/>
        <item x="88"/>
        <item x="1"/>
        <item x="31"/>
        <item x="39"/>
        <item x="78"/>
        <item x="55"/>
        <item x="75"/>
        <item x="4"/>
        <item x="41"/>
        <item x="53"/>
        <item x="67"/>
        <item x="42"/>
        <item x="83"/>
        <item x="12"/>
        <item x="35"/>
        <item x="17"/>
        <item x="6"/>
        <item x="65"/>
        <item x="36"/>
        <item x="84"/>
        <item x="2"/>
        <item x="62"/>
        <item x="9"/>
        <item x="49"/>
        <item x="25"/>
        <item x="21"/>
        <item x="79"/>
        <item x="92"/>
        <item x="24"/>
        <item x="59"/>
        <item x="29"/>
        <item x="66"/>
        <item x="50"/>
        <item t="default"/>
      </items>
    </pivotField>
    <pivotField compact="0" showAll="0">
      <items count="5">
        <item x="3"/>
        <item x="2"/>
        <item x="0"/>
        <item x="1"/>
        <item t="default"/>
      </items>
    </pivotField>
    <pivotField axis="axisRow" measureFilter="1" compact="0" sortType="ascending" showAll="0">
      <items count="11">
        <item x="5"/>
        <item x="9"/>
        <item x="6"/>
        <item x="8"/>
        <item x="4"/>
        <item x="0"/>
        <item x="1"/>
        <item x="3"/>
        <item x="7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5">
        <item x="0"/>
        <item x="3"/>
        <item x="1"/>
        <item x="2"/>
        <item t="default"/>
      </items>
    </pivotField>
    <pivotField compact="0" showAll="0">
      <items count="112">
        <item x="77"/>
        <item x="40"/>
        <item x="8"/>
        <item x="82"/>
        <item x="102"/>
        <item x="52"/>
        <item x="6"/>
        <item x="48"/>
        <item x="44"/>
        <item x="103"/>
        <item x="80"/>
        <item x="99"/>
        <item x="22"/>
        <item x="68"/>
        <item x="85"/>
        <item x="37"/>
        <item x="104"/>
        <item x="72"/>
        <item x="78"/>
        <item x="36"/>
        <item x="59"/>
        <item x="100"/>
        <item x="57"/>
        <item x="39"/>
        <item x="89"/>
        <item x="49"/>
        <item x="4"/>
        <item x="21"/>
        <item x="66"/>
        <item x="62"/>
        <item x="64"/>
        <item x="81"/>
        <item x="15"/>
        <item x="109"/>
        <item x="73"/>
        <item x="83"/>
        <item x="71"/>
        <item x="47"/>
        <item x="92"/>
        <item x="69"/>
        <item x="91"/>
        <item x="45"/>
        <item x="98"/>
        <item x="16"/>
        <item x="38"/>
        <item x="20"/>
        <item x="56"/>
        <item x="34"/>
        <item x="84"/>
        <item x="70"/>
        <item x="46"/>
        <item x="108"/>
        <item x="29"/>
        <item x="61"/>
        <item x="90"/>
        <item x="93"/>
        <item x="65"/>
        <item x="97"/>
        <item x="101"/>
        <item x="58"/>
        <item x="19"/>
        <item x="13"/>
        <item x="33"/>
        <item x="67"/>
        <item x="51"/>
        <item x="55"/>
        <item x="42"/>
        <item x="50"/>
        <item x="96"/>
        <item x="17"/>
        <item x="88"/>
        <item x="43"/>
        <item x="30"/>
        <item x="95"/>
        <item x="76"/>
        <item x="41"/>
        <item x="14"/>
        <item x="94"/>
        <item x="87"/>
        <item x="31"/>
        <item x="9"/>
        <item x="5"/>
        <item x="86"/>
        <item x="25"/>
        <item x="0"/>
        <item x="26"/>
        <item x="53"/>
        <item x="1"/>
        <item x="12"/>
        <item x="24"/>
        <item x="18"/>
        <item x="27"/>
        <item x="7"/>
        <item x="23"/>
        <item x="3"/>
        <item x="35"/>
        <item x="11"/>
        <item x="74"/>
        <item x="2"/>
        <item x="54"/>
        <item x="10"/>
        <item x="63"/>
        <item x="110"/>
        <item x="28"/>
        <item x="32"/>
        <item x="75"/>
        <item x="107"/>
        <item x="60"/>
        <item x="105"/>
        <item x="79"/>
        <item x="106"/>
        <item t="default"/>
      </items>
    </pivotField>
    <pivotField compact="0" showAll="0">
      <items count="106">
        <item x="13"/>
        <item x="71"/>
        <item x="58"/>
        <item x="49"/>
        <item x="82"/>
        <item x="95"/>
        <item x="81"/>
        <item x="30"/>
        <item x="76"/>
        <item x="64"/>
        <item x="27"/>
        <item x="56"/>
        <item x="74"/>
        <item x="41"/>
        <item x="94"/>
        <item x="20"/>
        <item x="6"/>
        <item x="44"/>
        <item x="65"/>
        <item x="89"/>
        <item x="37"/>
        <item x="79"/>
        <item x="26"/>
        <item x="47"/>
        <item x="52"/>
        <item x="36"/>
        <item x="29"/>
        <item x="60"/>
        <item x="72"/>
        <item x="90"/>
        <item x="3"/>
        <item x="86"/>
        <item x="75"/>
        <item x="15"/>
        <item x="5"/>
        <item x="0"/>
        <item x="83"/>
        <item x="102"/>
        <item x="85"/>
        <item x="67"/>
        <item x="93"/>
        <item x="8"/>
        <item x="11"/>
        <item x="19"/>
        <item x="61"/>
        <item x="59"/>
        <item x="55"/>
        <item x="46"/>
        <item x="92"/>
        <item x="24"/>
        <item x="97"/>
        <item x="96"/>
        <item x="42"/>
        <item x="43"/>
        <item x="48"/>
        <item x="21"/>
        <item x="33"/>
        <item x="68"/>
        <item x="84"/>
        <item x="38"/>
        <item x="45"/>
        <item x="87"/>
        <item x="62"/>
        <item x="39"/>
        <item x="31"/>
        <item x="17"/>
        <item x="9"/>
        <item x="14"/>
        <item x="98"/>
        <item x="88"/>
        <item x="4"/>
        <item x="66"/>
        <item x="22"/>
        <item x="99"/>
        <item x="23"/>
        <item x="35"/>
        <item x="57"/>
        <item x="70"/>
        <item x="69"/>
        <item x="40"/>
        <item x="104"/>
        <item x="10"/>
        <item x="63"/>
        <item x="25"/>
        <item x="80"/>
        <item x="32"/>
        <item x="28"/>
        <item x="34"/>
        <item x="18"/>
        <item x="101"/>
        <item x="77"/>
        <item x="7"/>
        <item x="103"/>
        <item x="91"/>
        <item x="53"/>
        <item x="50"/>
        <item x="54"/>
        <item x="51"/>
        <item x="12"/>
        <item x="100"/>
        <item x="16"/>
        <item x="73"/>
        <item x="1"/>
        <item x="78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9">
        <item x="0"/>
        <item x="4"/>
        <item x="5"/>
        <item x="2"/>
        <item x="6"/>
        <item x="7"/>
        <item x="1"/>
        <item x="3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numFmtId="183" showAll="0">
      <items count="120">
        <item x="32"/>
        <item x="64"/>
        <item x="77"/>
        <item x="101"/>
        <item x="42"/>
        <item x="13"/>
        <item x="99"/>
        <item x="94"/>
        <item x="105"/>
        <item x="63"/>
        <item x="68"/>
        <item x="59"/>
        <item x="39"/>
        <item x="74"/>
        <item x="88"/>
        <item x="62"/>
        <item x="92"/>
        <item x="109"/>
        <item x="30"/>
        <item x="27"/>
        <item x="91"/>
        <item x="26"/>
        <item x="66"/>
        <item x="71"/>
        <item x="89"/>
        <item x="102"/>
        <item x="3"/>
        <item x="50"/>
        <item x="55"/>
        <item x="20"/>
        <item x="72"/>
        <item x="5"/>
        <item x="38"/>
        <item x="29"/>
        <item x="103"/>
        <item x="0"/>
        <item x="60"/>
        <item x="11"/>
        <item x="52"/>
        <item x="96"/>
        <item x="24"/>
        <item x="113"/>
        <item x="97"/>
        <item x="19"/>
        <item x="116"/>
        <item x="78"/>
        <item x="67"/>
        <item x="58"/>
        <item x="23"/>
        <item x="118"/>
        <item x="10"/>
        <item x="28"/>
        <item x="31"/>
        <item x="85"/>
        <item x="114"/>
        <item x="115"/>
        <item x="84"/>
        <item x="9"/>
        <item x="51"/>
        <item x="15"/>
        <item x="80"/>
        <item x="41"/>
        <item x="14"/>
        <item x="17"/>
        <item x="100"/>
        <item x="35"/>
        <item x="69"/>
        <item x="18"/>
        <item x="46"/>
        <item x="7"/>
        <item x="79"/>
        <item x="25"/>
        <item x="82"/>
        <item x="54"/>
        <item x="37"/>
        <item x="75"/>
        <item x="90"/>
        <item x="43"/>
        <item x="83"/>
        <item x="81"/>
        <item x="34"/>
        <item x="53"/>
        <item x="45"/>
        <item x="44"/>
        <item x="93"/>
        <item x="33"/>
        <item x="106"/>
        <item x="12"/>
        <item x="65"/>
        <item x="1"/>
        <item x="2"/>
        <item x="98"/>
        <item x="6"/>
        <item x="49"/>
        <item x="21"/>
        <item x="73"/>
        <item x="56"/>
        <item x="4"/>
        <item x="86"/>
        <item x="16"/>
        <item x="95"/>
        <item x="117"/>
        <item x="87"/>
        <item x="107"/>
        <item x="36"/>
        <item x="76"/>
        <item x="112"/>
        <item x="57"/>
        <item x="111"/>
        <item x="22"/>
        <item x="8"/>
        <item x="70"/>
        <item x="48"/>
        <item x="110"/>
        <item x="40"/>
        <item x="104"/>
        <item x="47"/>
        <item x="61"/>
        <item x="108"/>
        <item t="default"/>
      </items>
    </pivotField>
  </pivotFields>
  <rowFields count="1">
    <field x="3"/>
  </rowFields>
  <rowItems count="6">
    <i>
      <x/>
    </i>
    <i>
      <x v="7"/>
    </i>
    <i>
      <x v="5"/>
    </i>
    <i>
      <x v="4"/>
    </i>
    <i>
      <x v="8"/>
    </i>
    <i t="grand">
      <x/>
    </i>
  </rowItems>
  <colItems count="1">
    <i/>
  </colItems>
  <dataFields count="1">
    <dataField name="Number Of Task" fld="0" subtotal="count" baseField="0" baseItem="0"/>
  </dataFields>
  <pivotTableStyleInfo name="PivotStyleLight16" showRowHeaders="1" showColHeaders="1" showLastColumn="1"/>
  <filters count="1">
    <filter evalOrder="-1" fld="3" iMeasureFld="0" id="2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0">
  <location ref="A3:B103" firstHeaderRow="1" firstDataRow="1" firstDataCol="1"/>
  <pivotFields count="14">
    <pivotField compact="0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axis="axisRow" compact="0" numFmtId="180" showAll="0">
      <items count="100">
        <item x="45"/>
        <item x="51"/>
        <item x="63"/>
        <item x="28"/>
        <item x="43"/>
        <item x="3"/>
        <item x="15"/>
        <item x="48"/>
        <item x="8"/>
        <item x="37"/>
        <item x="44"/>
        <item x="33"/>
        <item x="60"/>
        <item x="94"/>
        <item x="46"/>
        <item x="23"/>
        <item x="95"/>
        <item x="86"/>
        <item x="58"/>
        <item x="32"/>
        <item x="40"/>
        <item x="18"/>
        <item x="90"/>
        <item x="89"/>
        <item x="97"/>
        <item x="85"/>
        <item x="77"/>
        <item x="82"/>
        <item x="26"/>
        <item x="74"/>
        <item x="52"/>
        <item x="81"/>
        <item x="20"/>
        <item x="22"/>
        <item x="7"/>
        <item x="19"/>
        <item x="72"/>
        <item x="70"/>
        <item x="69"/>
        <item x="14"/>
        <item x="76"/>
        <item x="71"/>
        <item x="10"/>
        <item x="27"/>
        <item x="80"/>
        <item x="73"/>
        <item x="5"/>
        <item x="61"/>
        <item x="64"/>
        <item x="98"/>
        <item x="47"/>
        <item x="68"/>
        <item x="93"/>
        <item x="30"/>
        <item x="54"/>
        <item x="96"/>
        <item x="34"/>
        <item x="56"/>
        <item x="0"/>
        <item x="16"/>
        <item x="91"/>
        <item x="57"/>
        <item x="87"/>
        <item x="13"/>
        <item x="38"/>
        <item x="11"/>
        <item x="88"/>
        <item x="1"/>
        <item x="31"/>
        <item x="39"/>
        <item x="78"/>
        <item x="55"/>
        <item x="75"/>
        <item x="4"/>
        <item x="41"/>
        <item x="53"/>
        <item x="67"/>
        <item x="42"/>
        <item x="83"/>
        <item x="12"/>
        <item x="35"/>
        <item x="17"/>
        <item x="6"/>
        <item x="65"/>
        <item x="36"/>
        <item x="84"/>
        <item x="2"/>
        <item x="62"/>
        <item x="9"/>
        <item x="49"/>
        <item x="25"/>
        <item x="21"/>
        <item x="79"/>
        <item x="92"/>
        <item x="24"/>
        <item x="59"/>
        <item x="29"/>
        <item x="66"/>
        <item x="50"/>
        <item t="default"/>
      </items>
    </pivotField>
    <pivotField compact="0" showAll="0"/>
    <pivotField compact="0" showAll="0"/>
    <pivotField compact="0" showAll="0"/>
    <pivotField dataField="1" compact="0" showAll="0">
      <items count="112">
        <item x="77"/>
        <item x="40"/>
        <item x="8"/>
        <item x="82"/>
        <item x="102"/>
        <item x="52"/>
        <item x="6"/>
        <item x="48"/>
        <item x="44"/>
        <item x="103"/>
        <item x="80"/>
        <item x="99"/>
        <item x="22"/>
        <item x="68"/>
        <item x="85"/>
        <item x="37"/>
        <item x="104"/>
        <item x="72"/>
        <item x="78"/>
        <item x="36"/>
        <item x="59"/>
        <item x="100"/>
        <item x="57"/>
        <item x="39"/>
        <item x="89"/>
        <item x="49"/>
        <item x="4"/>
        <item x="21"/>
        <item x="66"/>
        <item x="62"/>
        <item x="64"/>
        <item x="81"/>
        <item x="15"/>
        <item x="109"/>
        <item x="73"/>
        <item x="83"/>
        <item x="71"/>
        <item x="47"/>
        <item x="92"/>
        <item x="69"/>
        <item x="91"/>
        <item x="45"/>
        <item x="98"/>
        <item x="16"/>
        <item x="38"/>
        <item x="20"/>
        <item x="56"/>
        <item x="34"/>
        <item x="84"/>
        <item x="70"/>
        <item x="46"/>
        <item x="108"/>
        <item x="29"/>
        <item x="61"/>
        <item x="90"/>
        <item x="93"/>
        <item x="65"/>
        <item x="97"/>
        <item x="101"/>
        <item x="58"/>
        <item x="19"/>
        <item x="13"/>
        <item x="33"/>
        <item x="67"/>
        <item x="51"/>
        <item x="55"/>
        <item x="42"/>
        <item x="50"/>
        <item x="96"/>
        <item x="17"/>
        <item x="88"/>
        <item x="43"/>
        <item x="30"/>
        <item x="95"/>
        <item x="76"/>
        <item x="41"/>
        <item x="14"/>
        <item x="94"/>
        <item x="87"/>
        <item x="31"/>
        <item x="9"/>
        <item x="5"/>
        <item x="86"/>
        <item x="25"/>
        <item x="0"/>
        <item x="26"/>
        <item x="53"/>
        <item x="1"/>
        <item x="12"/>
        <item x="24"/>
        <item x="18"/>
        <item x="27"/>
        <item x="7"/>
        <item x="23"/>
        <item x="3"/>
        <item x="35"/>
        <item x="11"/>
        <item x="74"/>
        <item x="2"/>
        <item x="54"/>
        <item x="10"/>
        <item x="63"/>
        <item x="110"/>
        <item x="28"/>
        <item x="32"/>
        <item x="75"/>
        <item x="107"/>
        <item x="60"/>
        <item x="105"/>
        <item x="79"/>
        <item x="106"/>
        <item t="default"/>
      </items>
    </pivotField>
    <pivotField compact="0" numFmtId="182" showAll="0"/>
    <pivotField compact="0" showAll="0"/>
    <pivotField compact="0" showAll="0"/>
    <pivotField compact="0" showAll="0"/>
    <pivotField compact="0" numFmtId="183" showAll="0"/>
    <pivotField compact="0" showAll="0"/>
    <pivotField compact="0" showAll="0"/>
    <pivotField compact="0" showAll="0">
      <items count="14">
        <item x="8"/>
        <item x="7"/>
        <item x="10"/>
        <item x="5"/>
        <item x="6"/>
        <item x="2"/>
        <item x="4"/>
        <item x="0"/>
        <item x="1"/>
        <item x="9"/>
        <item x="3"/>
        <item x="12"/>
        <item x="11"/>
        <item t="default"/>
      </items>
    </pivotField>
  </pivotFields>
  <rowFields count="1">
    <field x="1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 t="grand">
      <x/>
    </i>
  </rowItems>
  <colItems count="1">
    <i/>
  </colItems>
  <dataFields count="1">
    <dataField name="Sum of UnitsProduced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" sourceName="Gender">
  <pivotTables>
    <pivotTable tabId="4" name="PivotTable2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nager" sourceName="Manager">
  <pivotTables>
    <pivotTable tabId="4" name="PivotTable2"/>
  </pivotTables>
  <data>
    <tabular pivotCacheId="1">
      <items count="10">
        <i x="5" s="1"/>
        <i x="9" s="1"/>
        <i x="6" s="1"/>
        <i x="8" s="1"/>
        <i x="4" s="1"/>
        <i x="0" s="1"/>
        <i x="1" s="1"/>
        <i x="3" s="1"/>
        <i x="7" s="1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4" name="PivotTable2"/>
  </pivotTables>
  <data>
    <tabular pivotCacheId="1">
      <items count="4">
        <i x="3" s="1"/>
        <i x="2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yle="SlicerStyleDark5" rowHeight="225425"/>
  <slicer name="Manager" cache="Slicer_Manager" caption="Manager" style="SlicerStyleDark5" rowHeight="225425"/>
  <slicer name="Gender" cache="Slicer_Gender" caption="Gender" style="SlicerStyleDark5" rowHeight="225425"/>
</slicers>
</file>

<file path=xl/tables/table1.xml><?xml version="1.0" encoding="utf-8"?>
<table xmlns="http://schemas.openxmlformats.org/spreadsheetml/2006/main" id="1" name="Table1" displayName="Table1" ref="A1:N121" totalsRowShown="0">
  <autoFilter xmlns:etc="http://www.wps.cn/officeDocument/2017/etCustomData" ref="A1:N121" etc:filterBottomFollowUsedRange="0"/>
  <tableColumns count="14">
    <tableColumn id="1" name="ProductionID"/>
    <tableColumn id="2" name="ProductionDate" dataDxfId="10"/>
    <tableColumn id="3" name="Region"/>
    <tableColumn id="4" name="Manager"/>
    <tableColumn id="5" name="ProductType"/>
    <tableColumn id="6" name="UnitsProduced"/>
    <tableColumn id="7" name="TotalCost" dataDxfId="11"/>
    <tableColumn id="8" name="Gender"/>
    <tableColumn id="9" name="True Age"/>
    <tableColumn id="10" name="Age Group">
      <calculatedColumnFormula>IF('Production Dataset'!I2&lt;35,"A1",IF('Production Dataset'!I2&lt;45,"A2","A3"))</calculatedColumnFormula>
    </tableColumn>
    <tableColumn id="11" name="Production cost per unit" dataDxfId="12">
      <calculatedColumnFormula>G2/F2</calculatedColumnFormula>
    </tableColumn>
    <tableColumn id="12" name="Cost Per Unit" dataDxfId="13">
      <calculatedColumnFormula>G2/F2</calculatedColumnFormula>
    </tableColumn>
    <tableColumn id="13" name="Year" dataDxfId="14">
      <calculatedColumnFormula>YEAR(B2)</calculatedColumnFormula>
    </tableColumn>
    <tableColumn id="14" name="Month_Year" dataDxfId="15">
      <calculatedColumnFormula>TEXT(B2,"MMM-YYYY")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1"/>
  <sheetViews>
    <sheetView zoomScale="85" zoomScaleNormal="85" workbookViewId="0">
      <selection activeCell="E11" sqref="E11"/>
    </sheetView>
  </sheetViews>
  <sheetFormatPr defaultColWidth="9" defaultRowHeight="15"/>
  <cols>
    <col min="1" max="1" width="15.7809523809524" customWidth="1"/>
    <col min="2" max="2" width="18.8857142857143" customWidth="1"/>
    <col min="3" max="3" width="14.1047619047619" customWidth="1"/>
    <col min="4" max="4" width="16.552380952381" customWidth="1"/>
    <col min="5" max="5" width="16.2190476190476" customWidth="1"/>
    <col min="6" max="6" width="16.552380952381" customWidth="1"/>
    <col min="7" max="7" width="16" style="4" customWidth="1"/>
    <col min="8" max="8" width="19" customWidth="1"/>
    <col min="9" max="9" width="15.2190476190476" customWidth="1"/>
    <col min="10" max="10" width="11" customWidth="1"/>
    <col min="11" max="11" width="24.2857142857143" customWidth="1"/>
    <col min="12" max="12" width="13.5714285714286" customWidth="1"/>
    <col min="13" max="13" width="9.42857142857143" customWidth="1"/>
    <col min="14" max="14" width="12.857142857142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2">
        <v>45380</v>
      </c>
      <c r="C2" t="s">
        <v>14</v>
      </c>
      <c r="D2" t="s">
        <v>15</v>
      </c>
      <c r="E2" t="s">
        <v>16</v>
      </c>
      <c r="F2">
        <v>412</v>
      </c>
      <c r="G2" s="4">
        <v>22288</v>
      </c>
      <c r="H2" t="s">
        <v>17</v>
      </c>
      <c r="I2">
        <v>25</v>
      </c>
      <c r="J2" t="str">
        <f>IF('Production Dataset'!I2&lt;35,"A1",IF('Production Dataset'!I2&lt;45,"A2","A3"))</f>
        <v>A1</v>
      </c>
      <c r="K2" s="5">
        <f>G2/F2</f>
        <v>54.0970873786408</v>
      </c>
      <c r="L2" s="6">
        <f t="shared" ref="L2:L33" si="0">G2/F2</f>
        <v>54.0970873786408</v>
      </c>
      <c r="M2" s="6">
        <f t="shared" ref="M2:M33" si="1">YEAR(B2)</f>
        <v>2024</v>
      </c>
      <c r="N2" s="6" t="str">
        <f t="shared" ref="N2:N33" si="2">TEXT(B2,"MMM-YYYY")</f>
        <v>Mar-2024</v>
      </c>
    </row>
    <row r="3" spans="1:14">
      <c r="A3">
        <v>2</v>
      </c>
      <c r="B3" s="2">
        <v>45420</v>
      </c>
      <c r="C3" t="s">
        <v>18</v>
      </c>
      <c r="D3" t="s">
        <v>19</v>
      </c>
      <c r="E3" t="s">
        <v>20</v>
      </c>
      <c r="F3">
        <v>430</v>
      </c>
      <c r="G3" s="4">
        <v>66500</v>
      </c>
      <c r="H3" t="s">
        <v>17</v>
      </c>
      <c r="I3">
        <v>52</v>
      </c>
      <c r="J3" t="str">
        <f>IF('Production Dataset'!I3&lt;35,"A1",IF('Production Dataset'!I3&lt;45,"A2","A3"))</f>
        <v>A3</v>
      </c>
      <c r="K3" s="5">
        <f t="shared" ref="K3:K34" si="3">G3/F3</f>
        <v>154.651162790698</v>
      </c>
      <c r="L3" s="6">
        <f t="shared" si="0"/>
        <v>154.651162790698</v>
      </c>
      <c r="M3" s="6">
        <f t="shared" si="1"/>
        <v>2024</v>
      </c>
      <c r="N3" s="6" t="str">
        <f t="shared" si="2"/>
        <v>May-2024</v>
      </c>
    </row>
    <row r="4" spans="1:14">
      <c r="A4">
        <v>3</v>
      </c>
      <c r="B4" s="2">
        <v>45504</v>
      </c>
      <c r="C4" t="s">
        <v>21</v>
      </c>
      <c r="D4" t="s">
        <v>22</v>
      </c>
      <c r="E4" t="s">
        <v>23</v>
      </c>
      <c r="F4">
        <v>478</v>
      </c>
      <c r="G4" s="4">
        <v>76076</v>
      </c>
      <c r="H4" t="s">
        <v>24</v>
      </c>
      <c r="I4">
        <v>36</v>
      </c>
      <c r="J4" t="str">
        <f>IF('Production Dataset'!I4&lt;35,"A1",IF('Production Dataset'!I4&lt;45,"A2","A3"))</f>
        <v>A2</v>
      </c>
      <c r="K4" s="5">
        <f t="shared" si="3"/>
        <v>159.154811715481</v>
      </c>
      <c r="L4" s="6">
        <f t="shared" si="0"/>
        <v>159.154811715481</v>
      </c>
      <c r="M4" s="6">
        <f t="shared" si="1"/>
        <v>2024</v>
      </c>
      <c r="N4" s="6" t="str">
        <f t="shared" si="2"/>
        <v>Jul-2024</v>
      </c>
    </row>
    <row r="5" spans="1:14">
      <c r="A5">
        <v>4</v>
      </c>
      <c r="B5" s="2">
        <v>45214</v>
      </c>
      <c r="C5" t="s">
        <v>18</v>
      </c>
      <c r="D5" t="s">
        <v>25</v>
      </c>
      <c r="E5" t="s">
        <v>23</v>
      </c>
      <c r="F5">
        <v>459</v>
      </c>
      <c r="G5" s="4">
        <v>17069</v>
      </c>
      <c r="H5" t="s">
        <v>26</v>
      </c>
      <c r="I5">
        <v>57</v>
      </c>
      <c r="J5" t="str">
        <f>IF('Production Dataset'!I5&lt;35,"A1",IF('Production Dataset'!I5&lt;45,"A2","A3"))</f>
        <v>A3</v>
      </c>
      <c r="K5" s="5">
        <f t="shared" si="3"/>
        <v>37.1873638344227</v>
      </c>
      <c r="L5" s="6">
        <f t="shared" si="0"/>
        <v>37.1873638344227</v>
      </c>
      <c r="M5" s="6">
        <f t="shared" si="1"/>
        <v>2023</v>
      </c>
      <c r="N5" s="6" t="str">
        <f t="shared" si="2"/>
        <v>Oct-2023</v>
      </c>
    </row>
    <row r="6" spans="1:14">
      <c r="A6">
        <v>5</v>
      </c>
      <c r="B6" s="2">
        <v>45449</v>
      </c>
      <c r="C6" t="s">
        <v>14</v>
      </c>
      <c r="D6" t="s">
        <v>27</v>
      </c>
      <c r="E6" t="s">
        <v>23</v>
      </c>
      <c r="F6">
        <v>178</v>
      </c>
      <c r="G6" s="4">
        <v>41349</v>
      </c>
      <c r="H6" t="s">
        <v>24</v>
      </c>
      <c r="I6">
        <v>26</v>
      </c>
      <c r="J6" t="str">
        <f>IF('Production Dataset'!I6&lt;35,"A1",IF('Production Dataset'!I6&lt;45,"A2","A3"))</f>
        <v>A1</v>
      </c>
      <c r="K6" s="5">
        <f t="shared" si="3"/>
        <v>232.297752808989</v>
      </c>
      <c r="L6" s="6">
        <f t="shared" si="0"/>
        <v>232.297752808989</v>
      </c>
      <c r="M6" s="6">
        <f t="shared" si="1"/>
        <v>2024</v>
      </c>
      <c r="N6" s="6" t="str">
        <f t="shared" si="2"/>
        <v>Jun-2024</v>
      </c>
    </row>
    <row r="7" spans="1:14">
      <c r="A7">
        <v>6</v>
      </c>
      <c r="B7" s="2">
        <v>45350</v>
      </c>
      <c r="C7" t="s">
        <v>18</v>
      </c>
      <c r="D7" t="s">
        <v>27</v>
      </c>
      <c r="E7" t="s">
        <v>23</v>
      </c>
      <c r="F7">
        <v>401</v>
      </c>
      <c r="G7" s="4">
        <v>19691</v>
      </c>
      <c r="H7" t="s">
        <v>24</v>
      </c>
      <c r="I7">
        <v>26</v>
      </c>
      <c r="J7" t="str">
        <f>IF('Production Dataset'!I7&lt;35,"A1",IF('Production Dataset'!I7&lt;45,"A2","A3"))</f>
        <v>A1</v>
      </c>
      <c r="K7" s="5">
        <f t="shared" si="3"/>
        <v>49.1047381546135</v>
      </c>
      <c r="L7" s="6">
        <f t="shared" si="0"/>
        <v>49.1047381546135</v>
      </c>
      <c r="M7" s="6">
        <f t="shared" si="1"/>
        <v>2024</v>
      </c>
      <c r="N7" s="6" t="str">
        <f t="shared" si="2"/>
        <v>Feb-2024</v>
      </c>
    </row>
    <row r="8" spans="1:14">
      <c r="A8">
        <v>7</v>
      </c>
      <c r="B8" s="2">
        <v>45472</v>
      </c>
      <c r="C8" t="s">
        <v>18</v>
      </c>
      <c r="D8" t="s">
        <v>28</v>
      </c>
      <c r="E8" t="s">
        <v>23</v>
      </c>
      <c r="F8">
        <v>68</v>
      </c>
      <c r="G8" s="4">
        <v>11696</v>
      </c>
      <c r="H8" t="s">
        <v>24</v>
      </c>
      <c r="I8">
        <v>28</v>
      </c>
      <c r="J8" t="str">
        <f>IF('Production Dataset'!I8&lt;35,"A1",IF('Production Dataset'!I8&lt;45,"A2","A3"))</f>
        <v>A1</v>
      </c>
      <c r="K8" s="5">
        <f t="shared" si="3"/>
        <v>172</v>
      </c>
      <c r="L8" s="6">
        <f t="shared" si="0"/>
        <v>172</v>
      </c>
      <c r="M8" s="6">
        <f t="shared" si="1"/>
        <v>2024</v>
      </c>
      <c r="N8" s="6" t="str">
        <f t="shared" si="2"/>
        <v>Jun-2024</v>
      </c>
    </row>
    <row r="9" spans="1:14">
      <c r="A9">
        <v>8</v>
      </c>
      <c r="B9" s="2">
        <v>45299</v>
      </c>
      <c r="C9" t="s">
        <v>18</v>
      </c>
      <c r="D9" t="s">
        <v>29</v>
      </c>
      <c r="E9" t="s">
        <v>30</v>
      </c>
      <c r="F9">
        <v>447</v>
      </c>
      <c r="G9" s="4">
        <v>52269</v>
      </c>
      <c r="H9" t="s">
        <v>24</v>
      </c>
      <c r="I9">
        <v>28</v>
      </c>
      <c r="J9" t="str">
        <f>IF('Production Dataset'!I9&lt;35,"A1",IF('Production Dataset'!I9&lt;45,"A2","A3"))</f>
        <v>A1</v>
      </c>
      <c r="K9" s="5">
        <f t="shared" si="3"/>
        <v>116.93288590604</v>
      </c>
      <c r="L9" s="6">
        <f t="shared" si="0"/>
        <v>116.93288590604</v>
      </c>
      <c r="M9" s="6">
        <f t="shared" si="1"/>
        <v>2024</v>
      </c>
      <c r="N9" s="6" t="str">
        <f t="shared" si="2"/>
        <v>Jan-2024</v>
      </c>
    </row>
    <row r="10" spans="1:14">
      <c r="A10">
        <v>9</v>
      </c>
      <c r="B10" s="2">
        <v>45217</v>
      </c>
      <c r="C10" t="s">
        <v>18</v>
      </c>
      <c r="D10" t="s">
        <v>31</v>
      </c>
      <c r="E10" t="s">
        <v>30</v>
      </c>
      <c r="F10">
        <v>55</v>
      </c>
      <c r="G10" s="4">
        <v>25893</v>
      </c>
      <c r="H10" t="s">
        <v>24</v>
      </c>
      <c r="I10">
        <v>42</v>
      </c>
      <c r="J10" t="str">
        <f>IF('Production Dataset'!I10&lt;35,"A1",IF('Production Dataset'!I10&lt;45,"A2","A3"))</f>
        <v>A2</v>
      </c>
      <c r="K10" s="5">
        <f t="shared" si="3"/>
        <v>470.781818181818</v>
      </c>
      <c r="L10" s="6">
        <f t="shared" si="0"/>
        <v>470.781818181818</v>
      </c>
      <c r="M10" s="6">
        <f t="shared" si="1"/>
        <v>2023</v>
      </c>
      <c r="N10" s="6" t="str">
        <f t="shared" si="2"/>
        <v>Oct-2023</v>
      </c>
    </row>
    <row r="11" spans="1:14">
      <c r="A11">
        <v>10</v>
      </c>
      <c r="B11" s="2">
        <v>45508</v>
      </c>
      <c r="C11" t="s">
        <v>18</v>
      </c>
      <c r="D11" t="s">
        <v>31</v>
      </c>
      <c r="E11" t="s">
        <v>16</v>
      </c>
      <c r="F11">
        <v>396</v>
      </c>
      <c r="G11" s="4">
        <v>38480</v>
      </c>
      <c r="H11" t="s">
        <v>17</v>
      </c>
      <c r="I11">
        <v>42</v>
      </c>
      <c r="J11" t="str">
        <f>IF('Production Dataset'!I11&lt;35,"A1",IF('Production Dataset'!I11&lt;45,"A2","A3"))</f>
        <v>A2</v>
      </c>
      <c r="K11" s="5">
        <f t="shared" si="3"/>
        <v>97.1717171717172</v>
      </c>
      <c r="L11" s="6">
        <f t="shared" si="0"/>
        <v>97.1717171717172</v>
      </c>
      <c r="M11" s="6">
        <f t="shared" si="1"/>
        <v>2024</v>
      </c>
      <c r="N11" s="6" t="str">
        <f t="shared" si="2"/>
        <v>Aug-2024</v>
      </c>
    </row>
    <row r="12" spans="1:14">
      <c r="A12">
        <v>11</v>
      </c>
      <c r="B12" s="2">
        <v>45335</v>
      </c>
      <c r="C12" t="s">
        <v>18</v>
      </c>
      <c r="D12" t="s">
        <v>32</v>
      </c>
      <c r="E12" t="s">
        <v>23</v>
      </c>
      <c r="F12">
        <v>494</v>
      </c>
      <c r="G12" s="4">
        <v>46767</v>
      </c>
      <c r="H12" t="s">
        <v>17</v>
      </c>
      <c r="I12">
        <v>25</v>
      </c>
      <c r="J12" t="str">
        <f>IF('Production Dataset'!I12&lt;35,"A1",IF('Production Dataset'!I12&lt;45,"A2","A3"))</f>
        <v>A1</v>
      </c>
      <c r="K12" s="5">
        <f t="shared" si="3"/>
        <v>94.67004048583</v>
      </c>
      <c r="L12" s="6">
        <f t="shared" si="0"/>
        <v>94.67004048583</v>
      </c>
      <c r="M12" s="6">
        <f t="shared" si="1"/>
        <v>2024</v>
      </c>
      <c r="N12" s="6" t="str">
        <f t="shared" si="2"/>
        <v>Feb-2024</v>
      </c>
    </row>
    <row r="13" spans="1:14">
      <c r="A13">
        <v>12</v>
      </c>
      <c r="B13" s="2">
        <v>45410</v>
      </c>
      <c r="C13" t="s">
        <v>18</v>
      </c>
      <c r="D13" t="s">
        <v>32</v>
      </c>
      <c r="E13" t="s">
        <v>16</v>
      </c>
      <c r="F13">
        <v>462</v>
      </c>
      <c r="G13" s="4">
        <v>26145</v>
      </c>
      <c r="H13" t="s">
        <v>26</v>
      </c>
      <c r="I13">
        <v>25</v>
      </c>
      <c r="J13" t="str">
        <f>IF('Production Dataset'!I13&lt;35,"A1",IF('Production Dataset'!I13&lt;45,"A2","A3"))</f>
        <v>A1</v>
      </c>
      <c r="K13" s="5">
        <f t="shared" si="3"/>
        <v>56.5909090909091</v>
      </c>
      <c r="L13" s="6">
        <f t="shared" si="0"/>
        <v>56.5909090909091</v>
      </c>
      <c r="M13" s="6">
        <f t="shared" si="1"/>
        <v>2024</v>
      </c>
      <c r="N13" s="6" t="str">
        <f t="shared" si="2"/>
        <v>Apr-2024</v>
      </c>
    </row>
    <row r="14" spans="1:14">
      <c r="A14">
        <v>13</v>
      </c>
      <c r="B14" s="2">
        <v>45472</v>
      </c>
      <c r="C14" t="s">
        <v>21</v>
      </c>
      <c r="D14" t="s">
        <v>15</v>
      </c>
      <c r="E14" t="s">
        <v>30</v>
      </c>
      <c r="F14">
        <v>435</v>
      </c>
      <c r="G14" s="4">
        <v>64090</v>
      </c>
      <c r="H14" t="s">
        <v>17</v>
      </c>
      <c r="I14">
        <v>25</v>
      </c>
      <c r="J14" t="str">
        <f>IF('Production Dataset'!I14&lt;35,"A1",IF('Production Dataset'!I14&lt;45,"A2","A3"))</f>
        <v>A1</v>
      </c>
      <c r="K14" s="5">
        <f t="shared" si="3"/>
        <v>147.333333333333</v>
      </c>
      <c r="L14" s="6">
        <f t="shared" si="0"/>
        <v>147.333333333333</v>
      </c>
      <c r="M14" s="6">
        <f t="shared" si="1"/>
        <v>2024</v>
      </c>
      <c r="N14" s="6" t="str">
        <f t="shared" si="2"/>
        <v>Jun-2024</v>
      </c>
    </row>
    <row r="15" spans="1:14">
      <c r="A15">
        <v>14</v>
      </c>
      <c r="B15" s="2">
        <v>45465</v>
      </c>
      <c r="C15" t="s">
        <v>14</v>
      </c>
      <c r="D15" t="s">
        <v>27</v>
      </c>
      <c r="E15" t="s">
        <v>16</v>
      </c>
      <c r="F15">
        <v>332</v>
      </c>
      <c r="G15" s="4">
        <v>679</v>
      </c>
      <c r="H15" t="s">
        <v>17</v>
      </c>
      <c r="I15">
        <v>26</v>
      </c>
      <c r="J15" t="str">
        <f>IF('Production Dataset'!I15&lt;35,"A1",IF('Production Dataset'!I15&lt;45,"A2","A3"))</f>
        <v>A1</v>
      </c>
      <c r="K15" s="5">
        <f t="shared" si="3"/>
        <v>2.04518072289157</v>
      </c>
      <c r="L15" s="6">
        <f t="shared" si="0"/>
        <v>2.04518072289157</v>
      </c>
      <c r="M15" s="6">
        <f t="shared" si="1"/>
        <v>2024</v>
      </c>
      <c r="N15" s="6" t="str">
        <f t="shared" si="2"/>
        <v>Jun-2024</v>
      </c>
    </row>
    <row r="16" spans="1:14">
      <c r="A16">
        <v>15</v>
      </c>
      <c r="B16" s="2">
        <v>45398</v>
      </c>
      <c r="C16" t="s">
        <v>21</v>
      </c>
      <c r="D16" t="s">
        <v>31</v>
      </c>
      <c r="E16" t="s">
        <v>16</v>
      </c>
      <c r="F16">
        <v>383</v>
      </c>
      <c r="G16" s="4">
        <v>39008</v>
      </c>
      <c r="H16" t="s">
        <v>26</v>
      </c>
      <c r="I16">
        <v>42</v>
      </c>
      <c r="J16" t="str">
        <f>IF('Production Dataset'!I16&lt;35,"A1",IF('Production Dataset'!I16&lt;45,"A2","A3"))</f>
        <v>A2</v>
      </c>
      <c r="K16" s="5">
        <f t="shared" si="3"/>
        <v>101.848563968668</v>
      </c>
      <c r="L16" s="6">
        <f t="shared" si="0"/>
        <v>101.848563968668</v>
      </c>
      <c r="M16" s="6">
        <f t="shared" si="1"/>
        <v>2024</v>
      </c>
      <c r="N16" s="6" t="str">
        <f t="shared" si="2"/>
        <v>Apr-2024</v>
      </c>
    </row>
    <row r="17" spans="1:14">
      <c r="A17">
        <v>16</v>
      </c>
      <c r="B17" s="2">
        <v>45318</v>
      </c>
      <c r="C17" t="s">
        <v>21</v>
      </c>
      <c r="D17" t="s">
        <v>27</v>
      </c>
      <c r="E17" t="s">
        <v>20</v>
      </c>
      <c r="F17">
        <v>193</v>
      </c>
      <c r="G17" s="4">
        <v>18796</v>
      </c>
      <c r="H17" t="s">
        <v>24</v>
      </c>
      <c r="I17">
        <v>26</v>
      </c>
      <c r="J17" t="str">
        <f>IF('Production Dataset'!I17&lt;35,"A1",IF('Production Dataset'!I17&lt;45,"A2","A3"))</f>
        <v>A1</v>
      </c>
      <c r="K17" s="5">
        <f t="shared" si="3"/>
        <v>97.3886010362694</v>
      </c>
      <c r="L17" s="6">
        <f t="shared" si="0"/>
        <v>97.3886010362694</v>
      </c>
      <c r="M17" s="6">
        <f t="shared" si="1"/>
        <v>2024</v>
      </c>
      <c r="N17" s="6" t="str">
        <f t="shared" si="2"/>
        <v>Jan-2024</v>
      </c>
    </row>
    <row r="18" spans="1:14">
      <c r="A18">
        <v>17</v>
      </c>
      <c r="B18" s="2">
        <v>45215</v>
      </c>
      <c r="C18" t="s">
        <v>18</v>
      </c>
      <c r="D18" t="s">
        <v>31</v>
      </c>
      <c r="E18" t="s">
        <v>23</v>
      </c>
      <c r="F18">
        <v>240</v>
      </c>
      <c r="G18" s="4">
        <v>65052</v>
      </c>
      <c r="H18" t="s">
        <v>17</v>
      </c>
      <c r="I18">
        <v>42</v>
      </c>
      <c r="J18" t="str">
        <f>IF('Production Dataset'!I18&lt;35,"A1",IF('Production Dataset'!I18&lt;45,"A2","A3"))</f>
        <v>A2</v>
      </c>
      <c r="K18" s="5">
        <f t="shared" si="3"/>
        <v>271.05</v>
      </c>
      <c r="L18" s="6">
        <f t="shared" si="0"/>
        <v>271.05</v>
      </c>
      <c r="M18" s="6">
        <f t="shared" si="1"/>
        <v>2023</v>
      </c>
      <c r="N18" s="6" t="str">
        <f t="shared" si="2"/>
        <v>Oct-2023</v>
      </c>
    </row>
    <row r="19" spans="1:14">
      <c r="A19">
        <v>18</v>
      </c>
      <c r="B19" s="2">
        <v>45381</v>
      </c>
      <c r="C19" t="s">
        <v>18</v>
      </c>
      <c r="D19" t="s">
        <v>33</v>
      </c>
      <c r="E19" t="s">
        <v>16</v>
      </c>
      <c r="F19">
        <v>363</v>
      </c>
      <c r="G19" s="4">
        <v>38232</v>
      </c>
      <c r="H19" t="s">
        <v>17</v>
      </c>
      <c r="I19">
        <v>49</v>
      </c>
      <c r="J19" t="str">
        <f>IF('Production Dataset'!I19&lt;35,"A1",IF('Production Dataset'!I19&lt;45,"A2","A3"))</f>
        <v>A3</v>
      </c>
      <c r="K19" s="5">
        <f t="shared" si="3"/>
        <v>105.322314049587</v>
      </c>
      <c r="L19" s="6">
        <f t="shared" si="0"/>
        <v>105.322314049587</v>
      </c>
      <c r="M19" s="6">
        <f t="shared" si="1"/>
        <v>2024</v>
      </c>
      <c r="N19" s="6" t="str">
        <f t="shared" si="2"/>
        <v>Mar-2024</v>
      </c>
    </row>
    <row r="20" spans="1:14">
      <c r="A20">
        <v>19</v>
      </c>
      <c r="B20" s="2">
        <v>45469</v>
      </c>
      <c r="C20" t="s">
        <v>18</v>
      </c>
      <c r="D20" t="s">
        <v>33</v>
      </c>
      <c r="E20" t="s">
        <v>16</v>
      </c>
      <c r="F20">
        <v>443</v>
      </c>
      <c r="G20" s="4">
        <v>50652</v>
      </c>
      <c r="H20" t="s">
        <v>24</v>
      </c>
      <c r="I20">
        <v>49</v>
      </c>
      <c r="J20" t="str">
        <f>IF('Production Dataset'!I20&lt;35,"A1",IF('Production Dataset'!I20&lt;45,"A2","A3"))</f>
        <v>A3</v>
      </c>
      <c r="K20" s="5">
        <f t="shared" si="3"/>
        <v>114.338600451467</v>
      </c>
      <c r="L20" s="6">
        <f t="shared" si="0"/>
        <v>114.338600451467</v>
      </c>
      <c r="M20" s="6">
        <f t="shared" si="1"/>
        <v>2024</v>
      </c>
      <c r="N20" s="6" t="str">
        <f t="shared" si="2"/>
        <v>Jun-2024</v>
      </c>
    </row>
    <row r="21" spans="1:14">
      <c r="A21">
        <v>20</v>
      </c>
      <c r="B21" s="2">
        <v>45254</v>
      </c>
      <c r="C21" t="s">
        <v>18</v>
      </c>
      <c r="D21" t="s">
        <v>31</v>
      </c>
      <c r="E21" t="s">
        <v>30</v>
      </c>
      <c r="F21">
        <v>331</v>
      </c>
      <c r="G21" s="4">
        <v>27140</v>
      </c>
      <c r="H21" t="s">
        <v>24</v>
      </c>
      <c r="I21">
        <v>42</v>
      </c>
      <c r="J21" t="str">
        <f>IF('Production Dataset'!I21&lt;35,"A1",IF('Production Dataset'!I21&lt;45,"A2","A3"))</f>
        <v>A2</v>
      </c>
      <c r="K21" s="5">
        <f t="shared" si="3"/>
        <v>81.9939577039275</v>
      </c>
      <c r="L21" s="6">
        <f t="shared" si="0"/>
        <v>81.9939577039275</v>
      </c>
      <c r="M21" s="6">
        <f t="shared" si="1"/>
        <v>2023</v>
      </c>
      <c r="N21" s="6" t="str">
        <f t="shared" si="2"/>
        <v>Nov-2023</v>
      </c>
    </row>
    <row r="22" spans="1:14">
      <c r="A22">
        <v>21</v>
      </c>
      <c r="B22" s="2">
        <v>45304</v>
      </c>
      <c r="C22" t="s">
        <v>14</v>
      </c>
      <c r="D22" t="s">
        <v>31</v>
      </c>
      <c r="E22" t="s">
        <v>23</v>
      </c>
      <c r="F22">
        <v>250</v>
      </c>
      <c r="G22" s="4">
        <v>11385</v>
      </c>
      <c r="H22" t="s">
        <v>24</v>
      </c>
      <c r="I22">
        <v>42</v>
      </c>
      <c r="J22" t="str">
        <f>IF('Production Dataset'!I22&lt;35,"A1",IF('Production Dataset'!I22&lt;45,"A2","A3"))</f>
        <v>A2</v>
      </c>
      <c r="K22" s="5">
        <f t="shared" si="3"/>
        <v>45.54</v>
      </c>
      <c r="L22" s="6">
        <f t="shared" si="0"/>
        <v>45.54</v>
      </c>
      <c r="M22" s="6">
        <f t="shared" si="1"/>
        <v>2024</v>
      </c>
      <c r="N22" s="6" t="str">
        <f t="shared" si="2"/>
        <v>Jan-2024</v>
      </c>
    </row>
    <row r="23" spans="1:14">
      <c r="A23">
        <v>22</v>
      </c>
      <c r="B23" s="2">
        <v>45294</v>
      </c>
      <c r="C23" t="s">
        <v>18</v>
      </c>
      <c r="D23" t="s">
        <v>33</v>
      </c>
      <c r="E23" t="s">
        <v>23</v>
      </c>
      <c r="F23">
        <v>180</v>
      </c>
      <c r="G23" s="4">
        <v>33684</v>
      </c>
      <c r="H23" t="s">
        <v>17</v>
      </c>
      <c r="I23">
        <v>49</v>
      </c>
      <c r="J23" t="str">
        <f>IF('Production Dataset'!I23&lt;35,"A1",IF('Production Dataset'!I23&lt;45,"A2","A3"))</f>
        <v>A3</v>
      </c>
      <c r="K23" s="5">
        <f t="shared" si="3"/>
        <v>187.133333333333</v>
      </c>
      <c r="L23" s="6">
        <f t="shared" si="0"/>
        <v>187.133333333333</v>
      </c>
      <c r="M23" s="6">
        <f t="shared" si="1"/>
        <v>2024</v>
      </c>
      <c r="N23" s="6" t="str">
        <f t="shared" si="2"/>
        <v>Jan-2024</v>
      </c>
    </row>
    <row r="24" spans="1:14">
      <c r="A24">
        <v>23</v>
      </c>
      <c r="B24" s="2">
        <v>45520</v>
      </c>
      <c r="C24" t="s">
        <v>21</v>
      </c>
      <c r="D24" t="s">
        <v>28</v>
      </c>
      <c r="E24" t="s">
        <v>16</v>
      </c>
      <c r="F24">
        <v>90</v>
      </c>
      <c r="G24" s="4">
        <v>42328</v>
      </c>
      <c r="H24" t="s">
        <v>17</v>
      </c>
      <c r="I24">
        <v>28</v>
      </c>
      <c r="J24" t="str">
        <f>IF('Production Dataset'!I24&lt;35,"A1",IF('Production Dataset'!I24&lt;45,"A2","A3"))</f>
        <v>A1</v>
      </c>
      <c r="K24" s="5">
        <f t="shared" si="3"/>
        <v>470.311111111111</v>
      </c>
      <c r="L24" s="6">
        <f t="shared" si="0"/>
        <v>470.311111111111</v>
      </c>
      <c r="M24" s="6">
        <f t="shared" si="1"/>
        <v>2024</v>
      </c>
      <c r="N24" s="6" t="str">
        <f t="shared" si="2"/>
        <v>Aug-2024</v>
      </c>
    </row>
    <row r="25" spans="1:14">
      <c r="A25">
        <v>24</v>
      </c>
      <c r="B25" s="2">
        <v>45296</v>
      </c>
      <c r="C25" t="s">
        <v>14</v>
      </c>
      <c r="D25" t="s">
        <v>25</v>
      </c>
      <c r="E25" t="s">
        <v>23</v>
      </c>
      <c r="F25">
        <v>458</v>
      </c>
      <c r="G25" s="4">
        <v>42873</v>
      </c>
      <c r="H25" t="s">
        <v>17</v>
      </c>
      <c r="I25">
        <v>57</v>
      </c>
      <c r="J25" t="str">
        <f>IF('Production Dataset'!I25&lt;35,"A1",IF('Production Dataset'!I25&lt;45,"A2","A3"))</f>
        <v>A3</v>
      </c>
      <c r="K25" s="5">
        <f t="shared" si="3"/>
        <v>93.6091703056769</v>
      </c>
      <c r="L25" s="6">
        <f t="shared" si="0"/>
        <v>93.6091703056769</v>
      </c>
      <c r="M25" s="6">
        <f t="shared" si="1"/>
        <v>2024</v>
      </c>
      <c r="N25" s="6" t="str">
        <f t="shared" si="2"/>
        <v>Jan-2024</v>
      </c>
    </row>
    <row r="26" spans="1:14">
      <c r="A26">
        <v>25</v>
      </c>
      <c r="B26" s="2">
        <v>45235</v>
      </c>
      <c r="C26" t="s">
        <v>18</v>
      </c>
      <c r="D26" t="s">
        <v>27</v>
      </c>
      <c r="E26" t="s">
        <v>16</v>
      </c>
      <c r="F26">
        <v>439</v>
      </c>
      <c r="G26" s="4">
        <v>31392</v>
      </c>
      <c r="H26" t="s">
        <v>24</v>
      </c>
      <c r="I26">
        <v>26</v>
      </c>
      <c r="J26" t="str">
        <f>IF('Production Dataset'!I26&lt;35,"A1",IF('Production Dataset'!I26&lt;45,"A2","A3"))</f>
        <v>A1</v>
      </c>
      <c r="K26" s="5">
        <f t="shared" si="3"/>
        <v>71.5079726651481</v>
      </c>
      <c r="L26" s="6">
        <f t="shared" si="0"/>
        <v>71.5079726651481</v>
      </c>
      <c r="M26" s="6">
        <f t="shared" si="1"/>
        <v>2023</v>
      </c>
      <c r="N26" s="6" t="str">
        <f t="shared" si="2"/>
        <v>Nov-2023</v>
      </c>
    </row>
    <row r="27" spans="1:14">
      <c r="A27">
        <v>26</v>
      </c>
      <c r="B27" s="2">
        <v>45530</v>
      </c>
      <c r="C27" t="s">
        <v>18</v>
      </c>
      <c r="D27" t="s">
        <v>31</v>
      </c>
      <c r="E27" t="s">
        <v>16</v>
      </c>
      <c r="F27">
        <v>406</v>
      </c>
      <c r="G27" s="4">
        <v>47880</v>
      </c>
      <c r="H27" t="s">
        <v>24</v>
      </c>
      <c r="I27">
        <v>42</v>
      </c>
      <c r="J27" t="str">
        <f>IF('Production Dataset'!I27&lt;35,"A1",IF('Production Dataset'!I27&lt;45,"A2","A3"))</f>
        <v>A2</v>
      </c>
      <c r="K27" s="5">
        <f t="shared" si="3"/>
        <v>117.931034482759</v>
      </c>
      <c r="L27" s="6">
        <f t="shared" si="0"/>
        <v>117.931034482759</v>
      </c>
      <c r="M27" s="6">
        <f t="shared" si="1"/>
        <v>2024</v>
      </c>
      <c r="N27" s="6" t="str">
        <f t="shared" si="2"/>
        <v>Aug-2024</v>
      </c>
    </row>
    <row r="28" spans="1:14">
      <c r="A28">
        <v>27</v>
      </c>
      <c r="B28" s="2">
        <v>45511</v>
      </c>
      <c r="C28" t="s">
        <v>18</v>
      </c>
      <c r="D28" t="s">
        <v>31</v>
      </c>
      <c r="E28" t="s">
        <v>30</v>
      </c>
      <c r="F28">
        <v>422</v>
      </c>
      <c r="G28" s="4">
        <v>13490</v>
      </c>
      <c r="H28" t="s">
        <v>17</v>
      </c>
      <c r="I28">
        <v>42</v>
      </c>
      <c r="J28" t="str">
        <f>IF('Production Dataset'!I28&lt;35,"A1",IF('Production Dataset'!I28&lt;45,"A2","A3"))</f>
        <v>A2</v>
      </c>
      <c r="K28" s="5">
        <f t="shared" si="3"/>
        <v>31.9668246445498</v>
      </c>
      <c r="L28" s="6">
        <f t="shared" si="0"/>
        <v>31.9668246445498</v>
      </c>
      <c r="M28" s="6">
        <f t="shared" si="1"/>
        <v>2024</v>
      </c>
      <c r="N28" s="6" t="str">
        <f t="shared" si="2"/>
        <v>Aug-2024</v>
      </c>
    </row>
    <row r="29" spans="1:14">
      <c r="A29">
        <v>28</v>
      </c>
      <c r="B29" s="2">
        <v>45286</v>
      </c>
      <c r="C29" t="s">
        <v>18</v>
      </c>
      <c r="D29" t="s">
        <v>25</v>
      </c>
      <c r="E29" t="s">
        <v>16</v>
      </c>
      <c r="F29">
        <v>444</v>
      </c>
      <c r="G29" s="4">
        <v>7272</v>
      </c>
      <c r="H29" t="s">
        <v>24</v>
      </c>
      <c r="I29">
        <v>57</v>
      </c>
      <c r="J29" t="str">
        <f>IF('Production Dataset'!I29&lt;35,"A1",IF('Production Dataset'!I29&lt;45,"A2","A3"))</f>
        <v>A3</v>
      </c>
      <c r="K29" s="5">
        <f t="shared" si="3"/>
        <v>16.3783783783784</v>
      </c>
      <c r="L29" s="6">
        <f t="shared" si="0"/>
        <v>16.3783783783784</v>
      </c>
      <c r="M29" s="6">
        <f t="shared" si="1"/>
        <v>2023</v>
      </c>
      <c r="N29" s="6" t="str">
        <f t="shared" si="2"/>
        <v>Dec-2023</v>
      </c>
    </row>
    <row r="30" spans="1:14">
      <c r="A30">
        <v>29</v>
      </c>
      <c r="B30" s="2">
        <v>45339</v>
      </c>
      <c r="C30" t="s">
        <v>18</v>
      </c>
      <c r="D30" t="s">
        <v>31</v>
      </c>
      <c r="E30" t="s">
        <v>30</v>
      </c>
      <c r="F30">
        <v>499</v>
      </c>
      <c r="G30" s="4">
        <v>48316</v>
      </c>
      <c r="H30" t="s">
        <v>17</v>
      </c>
      <c r="I30">
        <v>42</v>
      </c>
      <c r="J30" t="str">
        <f>IF('Production Dataset'!I30&lt;35,"A1",IF('Production Dataset'!I30&lt;45,"A2","A3"))</f>
        <v>A2</v>
      </c>
      <c r="K30" s="5">
        <f t="shared" si="3"/>
        <v>96.8256513026052</v>
      </c>
      <c r="L30" s="6">
        <f t="shared" si="0"/>
        <v>96.8256513026052</v>
      </c>
      <c r="M30" s="6">
        <f t="shared" si="1"/>
        <v>2024</v>
      </c>
      <c r="N30" s="6" t="str">
        <f t="shared" si="2"/>
        <v>Feb-2024</v>
      </c>
    </row>
    <row r="31" spans="1:14">
      <c r="A31">
        <v>30</v>
      </c>
      <c r="B31" s="2">
        <v>45200</v>
      </c>
      <c r="C31" t="s">
        <v>18</v>
      </c>
      <c r="D31" t="s">
        <v>32</v>
      </c>
      <c r="E31" t="s">
        <v>16</v>
      </c>
      <c r="F31">
        <v>290</v>
      </c>
      <c r="G31" s="4">
        <v>15132</v>
      </c>
      <c r="H31" t="s">
        <v>26</v>
      </c>
      <c r="I31">
        <v>25</v>
      </c>
      <c r="J31" t="str">
        <f>IF('Production Dataset'!I31&lt;35,"A1",IF('Production Dataset'!I31&lt;45,"A2","A3"))</f>
        <v>A1</v>
      </c>
      <c r="K31" s="5">
        <f t="shared" si="3"/>
        <v>52.1793103448276</v>
      </c>
      <c r="L31" s="6">
        <f t="shared" si="0"/>
        <v>52.1793103448276</v>
      </c>
      <c r="M31" s="6">
        <f t="shared" si="1"/>
        <v>2023</v>
      </c>
      <c r="N31" s="6" t="str">
        <f t="shared" si="2"/>
        <v>Oct-2023</v>
      </c>
    </row>
    <row r="32" spans="1:14">
      <c r="A32">
        <v>31</v>
      </c>
      <c r="B32" s="2">
        <v>45543</v>
      </c>
      <c r="C32" t="s">
        <v>21</v>
      </c>
      <c r="D32" t="s">
        <v>31</v>
      </c>
      <c r="E32" t="s">
        <v>30</v>
      </c>
      <c r="F32">
        <v>369</v>
      </c>
      <c r="G32" s="4">
        <v>5246</v>
      </c>
      <c r="H32" t="s">
        <v>24</v>
      </c>
      <c r="I32">
        <v>42</v>
      </c>
      <c r="J32" t="str">
        <f>IF('Production Dataset'!I32&lt;35,"A1",IF('Production Dataset'!I32&lt;45,"A2","A3"))</f>
        <v>A2</v>
      </c>
      <c r="K32" s="5">
        <f t="shared" si="3"/>
        <v>14.2168021680217</v>
      </c>
      <c r="L32" s="6">
        <f t="shared" si="0"/>
        <v>14.2168021680217</v>
      </c>
      <c r="M32" s="6">
        <f t="shared" si="1"/>
        <v>2024</v>
      </c>
      <c r="N32" s="6" t="str">
        <f t="shared" si="2"/>
        <v>Sep-2024</v>
      </c>
    </row>
    <row r="33" spans="1:14">
      <c r="A33">
        <v>32</v>
      </c>
      <c r="B33" s="2">
        <v>45371</v>
      </c>
      <c r="C33" t="s">
        <v>34</v>
      </c>
      <c r="D33" t="s">
        <v>31</v>
      </c>
      <c r="E33" t="s">
        <v>16</v>
      </c>
      <c r="F33">
        <v>389</v>
      </c>
      <c r="G33" s="4">
        <v>37744</v>
      </c>
      <c r="H33" t="s">
        <v>24</v>
      </c>
      <c r="I33">
        <v>42</v>
      </c>
      <c r="J33" t="str">
        <f>IF('Production Dataset'!I33&lt;35,"A1",IF('Production Dataset'!I33&lt;45,"A2","A3"))</f>
        <v>A2</v>
      </c>
      <c r="K33" s="5">
        <f t="shared" si="3"/>
        <v>97.0282776349614</v>
      </c>
      <c r="L33" s="6">
        <f t="shared" si="0"/>
        <v>97.0282776349614</v>
      </c>
      <c r="M33" s="6">
        <f t="shared" si="1"/>
        <v>2024</v>
      </c>
      <c r="N33" s="6" t="str">
        <f t="shared" si="2"/>
        <v>Mar-2024</v>
      </c>
    </row>
    <row r="34" spans="1:14">
      <c r="A34">
        <v>33</v>
      </c>
      <c r="B34" s="2">
        <v>45422</v>
      </c>
      <c r="C34" t="s">
        <v>34</v>
      </c>
      <c r="D34" t="s">
        <v>32</v>
      </c>
      <c r="E34" t="s">
        <v>30</v>
      </c>
      <c r="F34">
        <v>511</v>
      </c>
      <c r="G34" s="4">
        <v>679</v>
      </c>
      <c r="H34" t="s">
        <v>17</v>
      </c>
      <c r="I34">
        <v>25</v>
      </c>
      <c r="J34" t="str">
        <f>IF('Production Dataset'!I34&lt;35,"A1",IF('Production Dataset'!I34&lt;45,"A2","A3"))</f>
        <v>A1</v>
      </c>
      <c r="K34" s="5">
        <f t="shared" si="3"/>
        <v>1.32876712328767</v>
      </c>
      <c r="L34" s="6">
        <f t="shared" ref="L34:L65" si="4">G34/F34</f>
        <v>1.32876712328767</v>
      </c>
      <c r="M34" s="6">
        <f t="shared" ref="M34:M65" si="5">YEAR(B34)</f>
        <v>2024</v>
      </c>
      <c r="N34" s="6" t="str">
        <f t="shared" ref="N34:N65" si="6">TEXT(B34,"MMM-YYYY")</f>
        <v>May-2024</v>
      </c>
    </row>
    <row r="35" spans="1:14">
      <c r="A35">
        <v>34</v>
      </c>
      <c r="B35" s="2">
        <v>45251</v>
      </c>
      <c r="C35" t="s">
        <v>18</v>
      </c>
      <c r="D35" t="s">
        <v>29</v>
      </c>
      <c r="E35" t="s">
        <v>23</v>
      </c>
      <c r="F35">
        <v>333</v>
      </c>
      <c r="G35" s="4">
        <v>48000</v>
      </c>
      <c r="H35" t="s">
        <v>17</v>
      </c>
      <c r="I35">
        <v>28</v>
      </c>
      <c r="J35" t="str">
        <f>IF('Production Dataset'!I35&lt;35,"A1",IF('Production Dataset'!I35&lt;45,"A2","A3"))</f>
        <v>A1</v>
      </c>
      <c r="K35" s="5">
        <f t="shared" ref="K35:K66" si="7">G35/F35</f>
        <v>144.144144144144</v>
      </c>
      <c r="L35" s="6">
        <f t="shared" si="4"/>
        <v>144.144144144144</v>
      </c>
      <c r="M35" s="6">
        <f t="shared" si="5"/>
        <v>2023</v>
      </c>
      <c r="N35" s="6" t="str">
        <f t="shared" si="6"/>
        <v>Nov-2023</v>
      </c>
    </row>
    <row r="36" spans="1:14">
      <c r="A36">
        <v>35</v>
      </c>
      <c r="B36" s="2">
        <v>45214</v>
      </c>
      <c r="C36" t="s">
        <v>18</v>
      </c>
      <c r="D36" t="s">
        <v>19</v>
      </c>
      <c r="E36" t="s">
        <v>23</v>
      </c>
      <c r="F36">
        <v>260</v>
      </c>
      <c r="G36" s="4">
        <v>34680</v>
      </c>
      <c r="H36" t="s">
        <v>24</v>
      </c>
      <c r="I36">
        <v>52</v>
      </c>
      <c r="J36" t="str">
        <f>IF('Production Dataset'!I36&lt;35,"A1",IF('Production Dataset'!I36&lt;45,"A2","A3"))</f>
        <v>A3</v>
      </c>
      <c r="K36" s="5">
        <f t="shared" si="7"/>
        <v>133.384615384615</v>
      </c>
      <c r="L36" s="6">
        <f t="shared" si="4"/>
        <v>133.384615384615</v>
      </c>
      <c r="M36" s="6">
        <f t="shared" si="5"/>
        <v>2023</v>
      </c>
      <c r="N36" s="6" t="str">
        <f t="shared" si="6"/>
        <v>Oct-2023</v>
      </c>
    </row>
    <row r="37" spans="1:14">
      <c r="A37">
        <v>36</v>
      </c>
      <c r="B37" s="2">
        <v>45230</v>
      </c>
      <c r="C37" t="s">
        <v>18</v>
      </c>
      <c r="D37" t="s">
        <v>27</v>
      </c>
      <c r="E37" t="s">
        <v>23</v>
      </c>
      <c r="F37">
        <v>460</v>
      </c>
      <c r="G37" s="4">
        <v>50274</v>
      </c>
      <c r="H37" t="s">
        <v>24</v>
      </c>
      <c r="I37">
        <v>26</v>
      </c>
      <c r="J37" t="str">
        <f>IF('Production Dataset'!I37&lt;35,"A1",IF('Production Dataset'!I37&lt;45,"A2","A3"))</f>
        <v>A1</v>
      </c>
      <c r="K37" s="5">
        <f t="shared" si="7"/>
        <v>109.291304347826</v>
      </c>
      <c r="L37" s="6">
        <f t="shared" si="4"/>
        <v>109.291304347826</v>
      </c>
      <c r="M37" s="6">
        <f t="shared" si="5"/>
        <v>2023</v>
      </c>
      <c r="N37" s="6" t="str">
        <f t="shared" si="6"/>
        <v>Oct-2023</v>
      </c>
    </row>
    <row r="38" spans="1:14">
      <c r="A38">
        <v>37</v>
      </c>
      <c r="B38" s="2">
        <v>45377</v>
      </c>
      <c r="C38" t="s">
        <v>21</v>
      </c>
      <c r="D38" t="s">
        <v>33</v>
      </c>
      <c r="E38" t="s">
        <v>16</v>
      </c>
      <c r="F38">
        <v>145</v>
      </c>
      <c r="G38" s="4">
        <v>43615</v>
      </c>
      <c r="H38" t="s">
        <v>24</v>
      </c>
      <c r="I38">
        <v>49</v>
      </c>
      <c r="J38" t="str">
        <f>IF('Production Dataset'!I38&lt;35,"A1",IF('Production Dataset'!I38&lt;45,"A2","A3"))</f>
        <v>A3</v>
      </c>
      <c r="K38" s="5">
        <f t="shared" si="7"/>
        <v>300.793103448276</v>
      </c>
      <c r="L38" s="6">
        <f t="shared" si="4"/>
        <v>300.793103448276</v>
      </c>
      <c r="M38" s="6">
        <f t="shared" si="5"/>
        <v>2024</v>
      </c>
      <c r="N38" s="6" t="str">
        <f t="shared" si="6"/>
        <v>Mar-2024</v>
      </c>
    </row>
    <row r="39" spans="1:14">
      <c r="A39">
        <v>38</v>
      </c>
      <c r="B39" s="2">
        <v>45467</v>
      </c>
      <c r="C39" t="s">
        <v>18</v>
      </c>
      <c r="D39" t="s">
        <v>31</v>
      </c>
      <c r="E39" t="s">
        <v>30</v>
      </c>
      <c r="F39">
        <v>115</v>
      </c>
      <c r="G39" s="4">
        <v>14076</v>
      </c>
      <c r="H39" t="s">
        <v>17</v>
      </c>
      <c r="I39">
        <v>42</v>
      </c>
      <c r="J39" t="str">
        <f>IF('Production Dataset'!I39&lt;35,"A1",IF('Production Dataset'!I39&lt;45,"A2","A3"))</f>
        <v>A2</v>
      </c>
      <c r="K39" s="5">
        <f t="shared" si="7"/>
        <v>122.4</v>
      </c>
      <c r="L39" s="6">
        <f t="shared" si="4"/>
        <v>122.4</v>
      </c>
      <c r="M39" s="6">
        <f t="shared" si="5"/>
        <v>2024</v>
      </c>
      <c r="N39" s="6" t="str">
        <f t="shared" si="6"/>
        <v>Jun-2024</v>
      </c>
    </row>
    <row r="40" spans="1:14">
      <c r="A40">
        <v>39</v>
      </c>
      <c r="B40" s="2">
        <v>45489</v>
      </c>
      <c r="C40" t="s">
        <v>21</v>
      </c>
      <c r="D40" t="s">
        <v>22</v>
      </c>
      <c r="E40" t="s">
        <v>16</v>
      </c>
      <c r="F40">
        <v>248</v>
      </c>
      <c r="G40" s="4">
        <v>12870</v>
      </c>
      <c r="H40" t="s">
        <v>17</v>
      </c>
      <c r="I40">
        <v>36</v>
      </c>
      <c r="J40" t="str">
        <f>IF('Production Dataset'!I40&lt;35,"A1",IF('Production Dataset'!I40&lt;45,"A2","A3"))</f>
        <v>A2</v>
      </c>
      <c r="K40" s="5">
        <f t="shared" si="7"/>
        <v>51.8951612903226</v>
      </c>
      <c r="L40" s="6">
        <f t="shared" si="4"/>
        <v>51.8951612903226</v>
      </c>
      <c r="M40" s="6">
        <f t="shared" si="5"/>
        <v>2024</v>
      </c>
      <c r="N40" s="6" t="str">
        <f t="shared" si="6"/>
        <v>Jul-2024</v>
      </c>
    </row>
    <row r="41" spans="1:14">
      <c r="A41">
        <v>40</v>
      </c>
      <c r="B41" s="2">
        <v>45221</v>
      </c>
      <c r="C41" t="s">
        <v>34</v>
      </c>
      <c r="D41" t="s">
        <v>19</v>
      </c>
      <c r="E41" t="s">
        <v>16</v>
      </c>
      <c r="F41">
        <v>165</v>
      </c>
      <c r="G41" s="4">
        <v>679</v>
      </c>
      <c r="H41" t="s">
        <v>24</v>
      </c>
      <c r="I41">
        <v>52</v>
      </c>
      <c r="J41" t="str">
        <f>IF('Production Dataset'!I41&lt;35,"A1",IF('Production Dataset'!I41&lt;45,"A2","A3"))</f>
        <v>A3</v>
      </c>
      <c r="K41" s="5">
        <f t="shared" si="7"/>
        <v>4.11515151515152</v>
      </c>
      <c r="L41" s="6">
        <f t="shared" si="4"/>
        <v>4.11515151515152</v>
      </c>
      <c r="M41" s="6">
        <f t="shared" si="5"/>
        <v>2023</v>
      </c>
      <c r="N41" s="6" t="str">
        <f t="shared" si="6"/>
        <v>Oct-2023</v>
      </c>
    </row>
    <row r="42" spans="1:14">
      <c r="A42">
        <v>41</v>
      </c>
      <c r="B42" s="2">
        <v>45407</v>
      </c>
      <c r="C42" t="s">
        <v>18</v>
      </c>
      <c r="D42" t="s">
        <v>31</v>
      </c>
      <c r="E42" t="s">
        <v>20</v>
      </c>
      <c r="F42">
        <v>51</v>
      </c>
      <c r="G42" s="4">
        <v>35280</v>
      </c>
      <c r="H42" t="s">
        <v>24</v>
      </c>
      <c r="I42">
        <v>42</v>
      </c>
      <c r="J42" t="str">
        <f>IF('Production Dataset'!I42&lt;35,"A1",IF('Production Dataset'!I42&lt;45,"A2","A3"))</f>
        <v>A2</v>
      </c>
      <c r="K42" s="5">
        <f t="shared" si="7"/>
        <v>691.764705882353</v>
      </c>
      <c r="L42" s="6">
        <f t="shared" si="4"/>
        <v>691.764705882353</v>
      </c>
      <c r="M42" s="6">
        <f t="shared" si="5"/>
        <v>2024</v>
      </c>
      <c r="N42" s="6" t="str">
        <f t="shared" si="6"/>
        <v>Apr-2024</v>
      </c>
    </row>
    <row r="43" spans="1:14">
      <c r="A43">
        <v>42</v>
      </c>
      <c r="B43" s="2">
        <v>45424</v>
      </c>
      <c r="C43" t="s">
        <v>21</v>
      </c>
      <c r="D43" t="s">
        <v>31</v>
      </c>
      <c r="E43" t="s">
        <v>16</v>
      </c>
      <c r="F43">
        <v>382</v>
      </c>
      <c r="G43" s="4">
        <v>37490</v>
      </c>
      <c r="H43" t="s">
        <v>24</v>
      </c>
      <c r="I43">
        <v>42</v>
      </c>
      <c r="J43" t="str">
        <f>IF('Production Dataset'!I43&lt;35,"A1",IF('Production Dataset'!I43&lt;45,"A2","A3"))</f>
        <v>A2</v>
      </c>
      <c r="K43" s="5">
        <f t="shared" si="7"/>
        <v>98.1413612565445</v>
      </c>
      <c r="L43" s="6">
        <f t="shared" si="4"/>
        <v>98.1413612565445</v>
      </c>
      <c r="M43" s="6">
        <f t="shared" si="5"/>
        <v>2024</v>
      </c>
      <c r="N43" s="6" t="str">
        <f t="shared" si="6"/>
        <v>May-2024</v>
      </c>
    </row>
    <row r="44" spans="1:14">
      <c r="A44">
        <v>43</v>
      </c>
      <c r="B44" s="2">
        <v>45252</v>
      </c>
      <c r="C44" t="s">
        <v>21</v>
      </c>
      <c r="D44" t="s">
        <v>31</v>
      </c>
      <c r="E44" t="s">
        <v>16</v>
      </c>
      <c r="F44">
        <v>354</v>
      </c>
      <c r="G44" s="4">
        <v>679</v>
      </c>
      <c r="H44" t="s">
        <v>24</v>
      </c>
      <c r="I44">
        <v>42</v>
      </c>
      <c r="J44" t="str">
        <f>IF('Production Dataset'!I44&lt;35,"A1",IF('Production Dataset'!I44&lt;45,"A2","A3"))</f>
        <v>A2</v>
      </c>
      <c r="K44" s="5">
        <f t="shared" si="7"/>
        <v>1.9180790960452</v>
      </c>
      <c r="L44" s="6">
        <f t="shared" si="4"/>
        <v>1.9180790960452</v>
      </c>
      <c r="M44" s="6">
        <f t="shared" si="5"/>
        <v>2023</v>
      </c>
      <c r="N44" s="6" t="str">
        <f t="shared" si="6"/>
        <v>Nov-2023</v>
      </c>
    </row>
    <row r="45" spans="1:14">
      <c r="A45">
        <v>44</v>
      </c>
      <c r="B45" s="2">
        <v>45451</v>
      </c>
      <c r="C45" t="s">
        <v>34</v>
      </c>
      <c r="D45" t="s">
        <v>19</v>
      </c>
      <c r="E45" t="s">
        <v>20</v>
      </c>
      <c r="F45">
        <v>368</v>
      </c>
      <c r="G45" s="4">
        <v>46068</v>
      </c>
      <c r="H45" t="s">
        <v>17</v>
      </c>
      <c r="I45">
        <v>52</v>
      </c>
      <c r="J45" t="str">
        <f>IF('Production Dataset'!I45&lt;35,"A1",IF('Production Dataset'!I45&lt;45,"A2","A3"))</f>
        <v>A3</v>
      </c>
      <c r="K45" s="5">
        <f t="shared" si="7"/>
        <v>125.184782608696</v>
      </c>
      <c r="L45" s="6">
        <f t="shared" si="4"/>
        <v>125.184782608696</v>
      </c>
      <c r="M45" s="6">
        <f t="shared" si="5"/>
        <v>2024</v>
      </c>
      <c r="N45" s="6" t="str">
        <f t="shared" si="6"/>
        <v>Jun-2024</v>
      </c>
    </row>
    <row r="46" spans="1:14">
      <c r="A46">
        <v>45</v>
      </c>
      <c r="B46" s="2">
        <v>45458</v>
      </c>
      <c r="C46" t="s">
        <v>18</v>
      </c>
      <c r="D46" t="s">
        <v>22</v>
      </c>
      <c r="E46" t="s">
        <v>30</v>
      </c>
      <c r="F46">
        <v>79</v>
      </c>
      <c r="G46" s="4">
        <v>11078</v>
      </c>
      <c r="H46" t="s">
        <v>17</v>
      </c>
      <c r="I46">
        <v>36</v>
      </c>
      <c r="J46" t="str">
        <f>IF('Production Dataset'!I46&lt;35,"A1",IF('Production Dataset'!I46&lt;45,"A2","A3"))</f>
        <v>A2</v>
      </c>
      <c r="K46" s="5">
        <f t="shared" si="7"/>
        <v>140.227848101266</v>
      </c>
      <c r="L46" s="6">
        <f t="shared" si="4"/>
        <v>140.227848101266</v>
      </c>
      <c r="M46" s="6">
        <f t="shared" si="5"/>
        <v>2024</v>
      </c>
      <c r="N46" s="6" t="str">
        <f t="shared" si="6"/>
        <v>Jun-2024</v>
      </c>
    </row>
    <row r="47" spans="1:14">
      <c r="A47">
        <v>46</v>
      </c>
      <c r="B47" s="2">
        <v>45207</v>
      </c>
      <c r="C47" t="s">
        <v>18</v>
      </c>
      <c r="D47" t="s">
        <v>28</v>
      </c>
      <c r="E47" t="s">
        <v>16</v>
      </c>
      <c r="F47">
        <v>231</v>
      </c>
      <c r="G47" s="4">
        <v>32045</v>
      </c>
      <c r="H47" t="s">
        <v>17</v>
      </c>
      <c r="I47">
        <v>28</v>
      </c>
      <c r="J47" t="str">
        <f>IF('Production Dataset'!I47&lt;35,"A1",IF('Production Dataset'!I47&lt;45,"A2","A3"))</f>
        <v>A1</v>
      </c>
      <c r="K47" s="5">
        <f t="shared" si="7"/>
        <v>138.722943722944</v>
      </c>
      <c r="L47" s="6">
        <f t="shared" si="4"/>
        <v>138.722943722944</v>
      </c>
      <c r="M47" s="6">
        <f t="shared" si="5"/>
        <v>2023</v>
      </c>
      <c r="N47" s="6" t="str">
        <f t="shared" si="6"/>
        <v>Oct-2023</v>
      </c>
    </row>
    <row r="48" spans="1:14">
      <c r="A48">
        <v>47</v>
      </c>
      <c r="B48" s="2">
        <v>45228</v>
      </c>
      <c r="C48" t="s">
        <v>34</v>
      </c>
      <c r="D48" t="s">
        <v>25</v>
      </c>
      <c r="E48" t="s">
        <v>16</v>
      </c>
      <c r="F48">
        <v>288</v>
      </c>
      <c r="G48" s="4">
        <v>33284</v>
      </c>
      <c r="H48" t="s">
        <v>17</v>
      </c>
      <c r="I48">
        <v>57</v>
      </c>
      <c r="J48" t="str">
        <f>IF('Production Dataset'!I48&lt;35,"A1",IF('Production Dataset'!I48&lt;45,"A2","A3"))</f>
        <v>A3</v>
      </c>
      <c r="K48" s="5">
        <f t="shared" si="7"/>
        <v>115.569444444444</v>
      </c>
      <c r="L48" s="6">
        <f t="shared" si="4"/>
        <v>115.569444444444</v>
      </c>
      <c r="M48" s="6">
        <f t="shared" si="5"/>
        <v>2023</v>
      </c>
      <c r="N48" s="6" t="str">
        <f t="shared" si="6"/>
        <v>Oct-2023</v>
      </c>
    </row>
    <row r="49" spans="1:14">
      <c r="A49">
        <v>48</v>
      </c>
      <c r="B49" s="2">
        <v>45191</v>
      </c>
      <c r="C49" t="s">
        <v>21</v>
      </c>
      <c r="D49" t="s">
        <v>27</v>
      </c>
      <c r="E49" t="s">
        <v>30</v>
      </c>
      <c r="F49">
        <v>214</v>
      </c>
      <c r="G49" s="4">
        <v>11954</v>
      </c>
      <c r="H49" t="s">
        <v>17</v>
      </c>
      <c r="I49">
        <v>26</v>
      </c>
      <c r="J49" t="str">
        <f>IF('Production Dataset'!I49&lt;35,"A1",IF('Production Dataset'!I49&lt;45,"A2","A3"))</f>
        <v>A1</v>
      </c>
      <c r="K49" s="5">
        <f t="shared" si="7"/>
        <v>55.8598130841121</v>
      </c>
      <c r="L49" s="6">
        <f t="shared" si="4"/>
        <v>55.8598130841121</v>
      </c>
      <c r="M49" s="6">
        <f t="shared" si="5"/>
        <v>2023</v>
      </c>
      <c r="N49" s="6" t="str">
        <f t="shared" si="6"/>
        <v>Sep-2023</v>
      </c>
    </row>
    <row r="50" spans="1:14">
      <c r="A50">
        <v>49</v>
      </c>
      <c r="B50" s="2">
        <v>45350</v>
      </c>
      <c r="C50" t="s">
        <v>14</v>
      </c>
      <c r="D50" t="s">
        <v>27</v>
      </c>
      <c r="E50" t="s">
        <v>23</v>
      </c>
      <c r="F50">
        <v>74</v>
      </c>
      <c r="G50" s="4">
        <v>36708</v>
      </c>
      <c r="H50" t="s">
        <v>24</v>
      </c>
      <c r="I50">
        <v>26</v>
      </c>
      <c r="J50" t="str">
        <f>IF('Production Dataset'!I50&lt;35,"A1",IF('Production Dataset'!I50&lt;45,"A2","A3"))</f>
        <v>A1</v>
      </c>
      <c r="K50" s="5">
        <f t="shared" si="7"/>
        <v>496.054054054054</v>
      </c>
      <c r="L50" s="6">
        <f t="shared" si="4"/>
        <v>496.054054054054</v>
      </c>
      <c r="M50" s="6">
        <f t="shared" si="5"/>
        <v>2024</v>
      </c>
      <c r="N50" s="6" t="str">
        <f t="shared" si="6"/>
        <v>Feb-2024</v>
      </c>
    </row>
    <row r="51" spans="1:14">
      <c r="A51">
        <v>50</v>
      </c>
      <c r="B51" s="2">
        <v>45234</v>
      </c>
      <c r="C51" t="s">
        <v>21</v>
      </c>
      <c r="D51" t="s">
        <v>15</v>
      </c>
      <c r="E51" t="s">
        <v>20</v>
      </c>
      <c r="F51">
        <v>177</v>
      </c>
      <c r="G51" s="4">
        <v>30600</v>
      </c>
      <c r="H51" t="s">
        <v>24</v>
      </c>
      <c r="I51">
        <v>25</v>
      </c>
      <c r="J51" t="str">
        <f>IF('Production Dataset'!I51&lt;35,"A1",IF('Production Dataset'!I51&lt;45,"A2","A3"))</f>
        <v>A1</v>
      </c>
      <c r="K51" s="5">
        <f t="shared" si="7"/>
        <v>172.881355932203</v>
      </c>
      <c r="L51" s="6">
        <f t="shared" si="4"/>
        <v>172.881355932203</v>
      </c>
      <c r="M51" s="6">
        <f t="shared" si="5"/>
        <v>2023</v>
      </c>
      <c r="N51" s="6" t="str">
        <f t="shared" si="6"/>
        <v>Nov-2023</v>
      </c>
    </row>
    <row r="52" spans="1:14">
      <c r="A52">
        <v>51</v>
      </c>
      <c r="B52" s="2">
        <v>45364</v>
      </c>
      <c r="C52" t="s">
        <v>14</v>
      </c>
      <c r="D52" t="s">
        <v>25</v>
      </c>
      <c r="E52" t="s">
        <v>23</v>
      </c>
      <c r="F52">
        <v>358</v>
      </c>
      <c r="G52" s="4">
        <v>13568</v>
      </c>
      <c r="H52" t="s">
        <v>17</v>
      </c>
      <c r="I52">
        <v>57</v>
      </c>
      <c r="J52" t="str">
        <f>IF('Production Dataset'!I52&lt;35,"A1",IF('Production Dataset'!I52&lt;45,"A2","A3"))</f>
        <v>A3</v>
      </c>
      <c r="K52" s="5">
        <f t="shared" si="7"/>
        <v>37.8994413407821</v>
      </c>
      <c r="L52" s="6">
        <f t="shared" si="4"/>
        <v>37.8994413407821</v>
      </c>
      <c r="M52" s="6">
        <f t="shared" si="5"/>
        <v>2024</v>
      </c>
      <c r="N52" s="6" t="str">
        <f t="shared" si="6"/>
        <v>Mar-2024</v>
      </c>
    </row>
    <row r="53" spans="1:14">
      <c r="A53">
        <v>52</v>
      </c>
      <c r="B53" s="2">
        <v>45350</v>
      </c>
      <c r="C53" t="s">
        <v>14</v>
      </c>
      <c r="D53" t="s">
        <v>31</v>
      </c>
      <c r="E53" t="s">
        <v>23</v>
      </c>
      <c r="F53">
        <v>343</v>
      </c>
      <c r="G53" s="4">
        <v>33344</v>
      </c>
      <c r="H53" t="s">
        <v>24</v>
      </c>
      <c r="I53">
        <v>42</v>
      </c>
      <c r="J53" t="str">
        <f>IF('Production Dataset'!I53&lt;35,"A1",IF('Production Dataset'!I53&lt;45,"A2","A3"))</f>
        <v>A2</v>
      </c>
      <c r="K53" s="5">
        <f t="shared" si="7"/>
        <v>97.2128279883382</v>
      </c>
      <c r="L53" s="6">
        <f t="shared" si="4"/>
        <v>97.2128279883382</v>
      </c>
      <c r="M53" s="6">
        <f t="shared" si="5"/>
        <v>2024</v>
      </c>
      <c r="N53" s="6" t="str">
        <f t="shared" si="6"/>
        <v>Feb-2024</v>
      </c>
    </row>
    <row r="54" spans="1:14">
      <c r="A54">
        <v>53</v>
      </c>
      <c r="B54" s="2">
        <v>45216</v>
      </c>
      <c r="C54" t="s">
        <v>34</v>
      </c>
      <c r="D54" t="s">
        <v>31</v>
      </c>
      <c r="E54" t="s">
        <v>23</v>
      </c>
      <c r="F54">
        <v>63</v>
      </c>
      <c r="G54" s="4">
        <v>3960</v>
      </c>
      <c r="H54" t="s">
        <v>24</v>
      </c>
      <c r="I54">
        <v>42</v>
      </c>
      <c r="J54" t="str">
        <f>IF('Production Dataset'!I54&lt;35,"A1",IF('Production Dataset'!I54&lt;45,"A2","A3"))</f>
        <v>A2</v>
      </c>
      <c r="K54" s="5">
        <f t="shared" si="7"/>
        <v>62.8571428571429</v>
      </c>
      <c r="L54" s="6">
        <f t="shared" si="4"/>
        <v>62.8571428571429</v>
      </c>
      <c r="M54" s="6">
        <f t="shared" si="5"/>
        <v>2023</v>
      </c>
      <c r="N54" s="6" t="str">
        <f t="shared" si="6"/>
        <v>Oct-2023</v>
      </c>
    </row>
    <row r="55" spans="1:14">
      <c r="A55">
        <v>54</v>
      </c>
      <c r="B55" s="2">
        <v>45510</v>
      </c>
      <c r="C55" t="s">
        <v>18</v>
      </c>
      <c r="D55" t="s">
        <v>29</v>
      </c>
      <c r="E55" t="s">
        <v>16</v>
      </c>
      <c r="F55">
        <v>429</v>
      </c>
      <c r="G55" s="4">
        <v>58208</v>
      </c>
      <c r="H55" t="s">
        <v>24</v>
      </c>
      <c r="I55">
        <v>28</v>
      </c>
      <c r="J55" t="str">
        <f>IF('Production Dataset'!I55&lt;35,"A1",IF('Production Dataset'!I55&lt;45,"A2","A3"))</f>
        <v>A1</v>
      </c>
      <c r="K55" s="5">
        <f t="shared" si="7"/>
        <v>135.682983682984</v>
      </c>
      <c r="L55" s="6">
        <f t="shared" si="4"/>
        <v>135.682983682984</v>
      </c>
      <c r="M55" s="6">
        <f t="shared" si="5"/>
        <v>2024</v>
      </c>
      <c r="N55" s="6" t="str">
        <f t="shared" si="6"/>
        <v>Aug-2024</v>
      </c>
    </row>
    <row r="56" spans="1:14">
      <c r="A56">
        <v>55</v>
      </c>
      <c r="B56" s="2">
        <v>45549</v>
      </c>
      <c r="C56" t="s">
        <v>14</v>
      </c>
      <c r="D56" t="s">
        <v>31</v>
      </c>
      <c r="E56" t="s">
        <v>20</v>
      </c>
      <c r="F56">
        <v>491</v>
      </c>
      <c r="G56" s="4">
        <v>59458</v>
      </c>
      <c r="H56" t="s">
        <v>24</v>
      </c>
      <c r="I56">
        <v>42</v>
      </c>
      <c r="J56" t="str">
        <f>IF('Production Dataset'!I56&lt;35,"A1",IF('Production Dataset'!I56&lt;45,"A2","A3"))</f>
        <v>A2</v>
      </c>
      <c r="K56" s="5">
        <f t="shared" si="7"/>
        <v>121.095723014257</v>
      </c>
      <c r="L56" s="6">
        <f t="shared" si="4"/>
        <v>121.095723014257</v>
      </c>
      <c r="M56" s="6">
        <f t="shared" si="5"/>
        <v>2024</v>
      </c>
      <c r="N56" s="6" t="str">
        <f t="shared" si="6"/>
        <v>Sep-2024</v>
      </c>
    </row>
    <row r="57" spans="1:14">
      <c r="A57">
        <v>56</v>
      </c>
      <c r="B57" s="2">
        <v>45193</v>
      </c>
      <c r="C57" t="s">
        <v>18</v>
      </c>
      <c r="D57" t="s">
        <v>31</v>
      </c>
      <c r="E57" t="s">
        <v>16</v>
      </c>
      <c r="F57">
        <v>344</v>
      </c>
      <c r="G57" s="4">
        <v>13872</v>
      </c>
      <c r="H57" t="s">
        <v>17</v>
      </c>
      <c r="I57">
        <v>42</v>
      </c>
      <c r="J57" t="str">
        <f>IF('Production Dataset'!I57&lt;35,"A1",IF('Production Dataset'!I57&lt;45,"A2","A3"))</f>
        <v>A2</v>
      </c>
      <c r="K57" s="5">
        <f t="shared" si="7"/>
        <v>40.3255813953488</v>
      </c>
      <c r="L57" s="6">
        <f t="shared" si="4"/>
        <v>40.3255813953488</v>
      </c>
      <c r="M57" s="6">
        <f t="shared" si="5"/>
        <v>2023</v>
      </c>
      <c r="N57" s="6" t="str">
        <f t="shared" si="6"/>
        <v>Sep-2023</v>
      </c>
    </row>
    <row r="58" spans="1:14">
      <c r="A58">
        <v>57</v>
      </c>
      <c r="B58" s="2">
        <v>45296</v>
      </c>
      <c r="C58" t="s">
        <v>18</v>
      </c>
      <c r="D58" t="s">
        <v>15</v>
      </c>
      <c r="E58" t="s">
        <v>20</v>
      </c>
      <c r="F58">
        <v>255</v>
      </c>
      <c r="G58" s="4">
        <v>57706</v>
      </c>
      <c r="H58" t="s">
        <v>17</v>
      </c>
      <c r="I58">
        <v>25</v>
      </c>
      <c r="J58" t="str">
        <f>IF('Production Dataset'!I58&lt;35,"A1",IF('Production Dataset'!I58&lt;45,"A2","A3"))</f>
        <v>A1</v>
      </c>
      <c r="K58" s="5">
        <f t="shared" si="7"/>
        <v>226.298039215686</v>
      </c>
      <c r="L58" s="6">
        <f t="shared" si="4"/>
        <v>226.298039215686</v>
      </c>
      <c r="M58" s="6">
        <f t="shared" si="5"/>
        <v>2024</v>
      </c>
      <c r="N58" s="6" t="str">
        <f t="shared" si="6"/>
        <v>Jan-2024</v>
      </c>
    </row>
    <row r="59" spans="1:14">
      <c r="A59">
        <v>58</v>
      </c>
      <c r="B59" s="2">
        <v>45292</v>
      </c>
      <c r="C59" t="s">
        <v>14</v>
      </c>
      <c r="D59" t="s">
        <v>31</v>
      </c>
      <c r="E59" t="s">
        <v>16</v>
      </c>
      <c r="F59">
        <v>160</v>
      </c>
      <c r="G59" s="4">
        <v>59248</v>
      </c>
      <c r="H59" t="s">
        <v>17</v>
      </c>
      <c r="I59">
        <v>42</v>
      </c>
      <c r="J59" t="str">
        <f>IF('Production Dataset'!I59&lt;35,"A1",IF('Production Dataset'!I59&lt;45,"A2","A3"))</f>
        <v>A2</v>
      </c>
      <c r="K59" s="5">
        <f t="shared" si="7"/>
        <v>370.3</v>
      </c>
      <c r="L59" s="6">
        <f t="shared" si="4"/>
        <v>370.3</v>
      </c>
      <c r="M59" s="6">
        <f t="shared" si="5"/>
        <v>2024</v>
      </c>
      <c r="N59" s="6" t="str">
        <f t="shared" si="6"/>
        <v>Jan-2024</v>
      </c>
    </row>
    <row r="60" spans="1:14">
      <c r="A60">
        <v>59</v>
      </c>
      <c r="B60" s="2">
        <v>45453</v>
      </c>
      <c r="C60" t="s">
        <v>21</v>
      </c>
      <c r="D60" t="s">
        <v>15</v>
      </c>
      <c r="E60" t="s">
        <v>30</v>
      </c>
      <c r="F60">
        <v>322</v>
      </c>
      <c r="G60" s="4">
        <v>29440</v>
      </c>
      <c r="H60" t="s">
        <v>24</v>
      </c>
      <c r="I60">
        <v>25</v>
      </c>
      <c r="J60" t="str">
        <f>IF('Production Dataset'!I60&lt;35,"A1",IF('Production Dataset'!I60&lt;45,"A2","A3"))</f>
        <v>A1</v>
      </c>
      <c r="K60" s="5">
        <f t="shared" si="7"/>
        <v>91.4285714285714</v>
      </c>
      <c r="L60" s="6">
        <f t="shared" si="4"/>
        <v>91.4285714285714</v>
      </c>
      <c r="M60" s="6">
        <f t="shared" si="5"/>
        <v>2024</v>
      </c>
      <c r="N60" s="6" t="str">
        <f t="shared" si="6"/>
        <v>Jun-2024</v>
      </c>
    </row>
    <row r="61" spans="1:14">
      <c r="A61">
        <v>60</v>
      </c>
      <c r="B61" s="2">
        <v>45372</v>
      </c>
      <c r="C61" t="s">
        <v>21</v>
      </c>
      <c r="D61" t="s">
        <v>15</v>
      </c>
      <c r="E61" t="s">
        <v>23</v>
      </c>
      <c r="F61">
        <v>178</v>
      </c>
      <c r="G61" s="4">
        <v>679</v>
      </c>
      <c r="H61" t="s">
        <v>24</v>
      </c>
      <c r="I61">
        <v>25</v>
      </c>
      <c r="J61" t="str">
        <f>IF('Production Dataset'!I61&lt;35,"A1",IF('Production Dataset'!I61&lt;45,"A2","A3"))</f>
        <v>A1</v>
      </c>
      <c r="K61" s="5">
        <f t="shared" si="7"/>
        <v>3.81460674157303</v>
      </c>
      <c r="L61" s="6">
        <f t="shared" si="4"/>
        <v>3.81460674157303</v>
      </c>
      <c r="M61" s="6">
        <f t="shared" si="5"/>
        <v>2024</v>
      </c>
      <c r="N61" s="6" t="str">
        <f t="shared" si="6"/>
        <v>Mar-2024</v>
      </c>
    </row>
    <row r="62" spans="1:14">
      <c r="A62">
        <v>61</v>
      </c>
      <c r="B62" s="2">
        <v>45286</v>
      </c>
      <c r="C62" t="s">
        <v>18</v>
      </c>
      <c r="D62" t="s">
        <v>19</v>
      </c>
      <c r="E62" t="s">
        <v>16</v>
      </c>
      <c r="F62">
        <v>151</v>
      </c>
      <c r="G62" s="4">
        <v>8475</v>
      </c>
      <c r="H62" t="s">
        <v>17</v>
      </c>
      <c r="I62">
        <v>52</v>
      </c>
      <c r="J62" t="str">
        <f>IF('Production Dataset'!I62&lt;35,"A1",IF('Production Dataset'!I62&lt;45,"A2","A3"))</f>
        <v>A3</v>
      </c>
      <c r="K62" s="5">
        <f t="shared" si="7"/>
        <v>56.1258278145695</v>
      </c>
      <c r="L62" s="6">
        <f t="shared" si="4"/>
        <v>56.1258278145695</v>
      </c>
      <c r="M62" s="6">
        <f t="shared" si="5"/>
        <v>2023</v>
      </c>
      <c r="N62" s="6" t="str">
        <f t="shared" si="6"/>
        <v>Dec-2023</v>
      </c>
    </row>
    <row r="63" spans="1:14">
      <c r="A63">
        <v>62</v>
      </c>
      <c r="B63" s="2">
        <v>45350</v>
      </c>
      <c r="C63" t="s">
        <v>18</v>
      </c>
      <c r="D63" t="s">
        <v>25</v>
      </c>
      <c r="E63" t="s">
        <v>23</v>
      </c>
      <c r="F63">
        <v>535</v>
      </c>
      <c r="G63" s="4">
        <v>44330</v>
      </c>
      <c r="H63" t="s">
        <v>24</v>
      </c>
      <c r="I63">
        <v>57</v>
      </c>
      <c r="J63" t="str">
        <f>IF('Production Dataset'!I63&lt;35,"A1",IF('Production Dataset'!I63&lt;45,"A2","A3"))</f>
        <v>A3</v>
      </c>
      <c r="K63" s="5">
        <f t="shared" si="7"/>
        <v>82.8598130841121</v>
      </c>
      <c r="L63" s="6">
        <f t="shared" si="4"/>
        <v>82.8598130841121</v>
      </c>
      <c r="M63" s="6">
        <f t="shared" si="5"/>
        <v>2024</v>
      </c>
      <c r="N63" s="6" t="str">
        <f t="shared" si="6"/>
        <v>Feb-2024</v>
      </c>
    </row>
    <row r="64" spans="1:14">
      <c r="A64">
        <v>63</v>
      </c>
      <c r="B64" s="2">
        <v>45510</v>
      </c>
      <c r="C64" t="s">
        <v>34</v>
      </c>
      <c r="D64" t="s">
        <v>15</v>
      </c>
      <c r="E64" t="s">
        <v>16</v>
      </c>
      <c r="F64">
        <v>305</v>
      </c>
      <c r="G64" s="4">
        <v>3186</v>
      </c>
      <c r="H64" t="s">
        <v>17</v>
      </c>
      <c r="I64">
        <v>25</v>
      </c>
      <c r="J64" t="str">
        <f>IF('Production Dataset'!I64&lt;35,"A1",IF('Production Dataset'!I64&lt;45,"A2","A3"))</f>
        <v>A1</v>
      </c>
      <c r="K64" s="5">
        <f t="shared" si="7"/>
        <v>10.4459016393443</v>
      </c>
      <c r="L64" s="6">
        <f t="shared" si="4"/>
        <v>10.4459016393443</v>
      </c>
      <c r="M64" s="6">
        <f t="shared" si="5"/>
        <v>2024</v>
      </c>
      <c r="N64" s="6" t="str">
        <f t="shared" si="6"/>
        <v>Aug-2024</v>
      </c>
    </row>
    <row r="65" spans="1:14">
      <c r="A65">
        <v>64</v>
      </c>
      <c r="B65" s="2">
        <v>45432</v>
      </c>
      <c r="C65" t="s">
        <v>18</v>
      </c>
      <c r="D65" t="s">
        <v>15</v>
      </c>
      <c r="E65" t="s">
        <v>30</v>
      </c>
      <c r="F65">
        <v>188</v>
      </c>
      <c r="G65" s="4">
        <v>679</v>
      </c>
      <c r="H65" t="s">
        <v>17</v>
      </c>
      <c r="I65">
        <v>25</v>
      </c>
      <c r="J65" t="str">
        <f>IF('Production Dataset'!I65&lt;35,"A1",IF('Production Dataset'!I65&lt;45,"A2","A3"))</f>
        <v>A1</v>
      </c>
      <c r="K65" s="5">
        <f t="shared" si="7"/>
        <v>3.61170212765957</v>
      </c>
      <c r="L65" s="6">
        <f t="shared" si="4"/>
        <v>3.61170212765957</v>
      </c>
      <c r="M65" s="6">
        <f t="shared" si="5"/>
        <v>2024</v>
      </c>
      <c r="N65" s="6" t="str">
        <f t="shared" si="6"/>
        <v>May-2024</v>
      </c>
    </row>
    <row r="66" spans="1:14">
      <c r="A66">
        <v>65</v>
      </c>
      <c r="B66" s="2">
        <v>45378</v>
      </c>
      <c r="C66" t="s">
        <v>34</v>
      </c>
      <c r="D66" t="s">
        <v>31</v>
      </c>
      <c r="E66" t="s">
        <v>16</v>
      </c>
      <c r="F66">
        <v>495</v>
      </c>
      <c r="G66" s="4">
        <v>679</v>
      </c>
      <c r="H66" t="s">
        <v>24</v>
      </c>
      <c r="I66">
        <v>42</v>
      </c>
      <c r="J66" t="str">
        <f>IF('Production Dataset'!I66&lt;35,"A1",IF('Production Dataset'!I66&lt;45,"A2","A3"))</f>
        <v>A2</v>
      </c>
      <c r="K66" s="5">
        <f t="shared" si="7"/>
        <v>1.37171717171717</v>
      </c>
      <c r="L66" s="6">
        <f t="shared" ref="L66:L97" si="8">G66/F66</f>
        <v>1.37171717171717</v>
      </c>
      <c r="M66" s="6">
        <f t="shared" ref="M66:M97" si="9">YEAR(B66)</f>
        <v>2024</v>
      </c>
      <c r="N66" s="6" t="str">
        <f t="shared" ref="N66:N97" si="10">TEXT(B66,"MMM-YYYY")</f>
        <v>Mar-2024</v>
      </c>
    </row>
    <row r="67" spans="1:14">
      <c r="A67">
        <v>66</v>
      </c>
      <c r="B67" s="2">
        <v>45390</v>
      </c>
      <c r="C67" t="s">
        <v>18</v>
      </c>
      <c r="D67" t="s">
        <v>28</v>
      </c>
      <c r="E67" t="s">
        <v>30</v>
      </c>
      <c r="F67">
        <v>190</v>
      </c>
      <c r="G67" s="4">
        <v>28050</v>
      </c>
      <c r="H67" t="s">
        <v>17</v>
      </c>
      <c r="I67">
        <v>28</v>
      </c>
      <c r="J67" t="str">
        <f>IF('Production Dataset'!I67&lt;35,"A1",IF('Production Dataset'!I67&lt;45,"A2","A3"))</f>
        <v>A1</v>
      </c>
      <c r="K67" s="5">
        <f t="shared" ref="K67:K98" si="11">G67/F67</f>
        <v>147.631578947368</v>
      </c>
      <c r="L67" s="6">
        <f t="shared" si="8"/>
        <v>147.631578947368</v>
      </c>
      <c r="M67" s="6">
        <f t="shared" si="9"/>
        <v>2024</v>
      </c>
      <c r="N67" s="6" t="str">
        <f t="shared" si="10"/>
        <v>Apr-2024</v>
      </c>
    </row>
    <row r="68" spans="1:14">
      <c r="A68">
        <v>67</v>
      </c>
      <c r="B68" s="2">
        <v>45249</v>
      </c>
      <c r="C68" t="s">
        <v>18</v>
      </c>
      <c r="D68" t="s">
        <v>27</v>
      </c>
      <c r="E68" t="s">
        <v>16</v>
      </c>
      <c r="F68">
        <v>511</v>
      </c>
      <c r="G68" s="4">
        <v>16698</v>
      </c>
      <c r="H68" t="s">
        <v>26</v>
      </c>
      <c r="I68">
        <v>26</v>
      </c>
      <c r="J68" t="str">
        <f>IF('Production Dataset'!I68&lt;35,"A1",IF('Production Dataset'!I68&lt;45,"A2","A3"))</f>
        <v>A1</v>
      </c>
      <c r="K68" s="5">
        <f t="shared" si="11"/>
        <v>32.6771037181996</v>
      </c>
      <c r="L68" s="6">
        <f t="shared" si="8"/>
        <v>32.6771037181996</v>
      </c>
      <c r="M68" s="6">
        <f t="shared" si="9"/>
        <v>2023</v>
      </c>
      <c r="N68" s="6" t="str">
        <f t="shared" si="10"/>
        <v>Nov-2023</v>
      </c>
    </row>
    <row r="69" spans="1:14">
      <c r="A69">
        <v>68</v>
      </c>
      <c r="B69" s="2">
        <v>45350</v>
      </c>
      <c r="C69" t="s">
        <v>14</v>
      </c>
      <c r="D69" t="s">
        <v>33</v>
      </c>
      <c r="E69" t="s">
        <v>16</v>
      </c>
      <c r="F69">
        <v>308</v>
      </c>
      <c r="G69" s="4">
        <v>27956</v>
      </c>
      <c r="H69" t="s">
        <v>26</v>
      </c>
      <c r="I69">
        <v>49</v>
      </c>
      <c r="J69" t="str">
        <f>IF('Production Dataset'!I69&lt;35,"A1",IF('Production Dataset'!I69&lt;45,"A2","A3"))</f>
        <v>A3</v>
      </c>
      <c r="K69" s="5">
        <f t="shared" si="11"/>
        <v>90.7662337662338</v>
      </c>
      <c r="L69" s="6">
        <f t="shared" si="8"/>
        <v>90.7662337662338</v>
      </c>
      <c r="M69" s="6">
        <f t="shared" si="9"/>
        <v>2024</v>
      </c>
      <c r="N69" s="6" t="str">
        <f t="shared" si="10"/>
        <v>Feb-2024</v>
      </c>
    </row>
    <row r="70" spans="1:14">
      <c r="A70">
        <v>69</v>
      </c>
      <c r="B70" s="2">
        <v>45532</v>
      </c>
      <c r="C70" t="s">
        <v>34</v>
      </c>
      <c r="D70" t="s">
        <v>22</v>
      </c>
      <c r="E70" t="s">
        <v>20</v>
      </c>
      <c r="F70">
        <v>183</v>
      </c>
      <c r="G70" s="4">
        <v>679</v>
      </c>
      <c r="H70" t="s">
        <v>24</v>
      </c>
      <c r="I70">
        <v>36</v>
      </c>
      <c r="J70" t="str">
        <f>IF('Production Dataset'!I70&lt;35,"A1",IF('Production Dataset'!I70&lt;45,"A2","A3"))</f>
        <v>A2</v>
      </c>
      <c r="K70" s="5">
        <f t="shared" si="11"/>
        <v>3.7103825136612</v>
      </c>
      <c r="L70" s="6">
        <f t="shared" si="8"/>
        <v>3.7103825136612</v>
      </c>
      <c r="M70" s="6">
        <f t="shared" si="9"/>
        <v>2024</v>
      </c>
      <c r="N70" s="6" t="str">
        <f t="shared" si="10"/>
        <v>Aug-2024</v>
      </c>
    </row>
    <row r="71" spans="1:14">
      <c r="A71">
        <v>70</v>
      </c>
      <c r="B71" s="2">
        <v>45232</v>
      </c>
      <c r="C71" t="s">
        <v>21</v>
      </c>
      <c r="D71" t="s">
        <v>31</v>
      </c>
      <c r="E71" t="s">
        <v>20</v>
      </c>
      <c r="F71">
        <v>335</v>
      </c>
      <c r="G71" s="4">
        <v>36984</v>
      </c>
      <c r="H71" t="s">
        <v>17</v>
      </c>
      <c r="I71">
        <v>42</v>
      </c>
      <c r="J71" t="str">
        <f>IF('Production Dataset'!I71&lt;35,"A1",IF('Production Dataset'!I71&lt;45,"A2","A3"))</f>
        <v>A2</v>
      </c>
      <c r="K71" s="5">
        <f t="shared" si="11"/>
        <v>110.4</v>
      </c>
      <c r="L71" s="6">
        <f t="shared" si="8"/>
        <v>110.4</v>
      </c>
      <c r="M71" s="6">
        <f t="shared" si="9"/>
        <v>2023</v>
      </c>
      <c r="N71" s="6" t="str">
        <f t="shared" si="10"/>
        <v>Nov-2023</v>
      </c>
    </row>
    <row r="72" spans="1:14">
      <c r="A72">
        <v>71</v>
      </c>
      <c r="B72" s="2">
        <v>45350</v>
      </c>
      <c r="C72" t="s">
        <v>21</v>
      </c>
      <c r="D72" t="s">
        <v>33</v>
      </c>
      <c r="E72" t="s">
        <v>20</v>
      </c>
      <c r="F72">
        <v>95</v>
      </c>
      <c r="G72" s="4">
        <v>46800</v>
      </c>
      <c r="H72" t="s">
        <v>24</v>
      </c>
      <c r="I72">
        <v>49</v>
      </c>
      <c r="J72" t="str">
        <f>IF('Production Dataset'!I72&lt;35,"A1",IF('Production Dataset'!I72&lt;45,"A2","A3"))</f>
        <v>A3</v>
      </c>
      <c r="K72" s="5">
        <f t="shared" si="11"/>
        <v>492.631578947368</v>
      </c>
      <c r="L72" s="6">
        <f t="shared" si="8"/>
        <v>492.631578947368</v>
      </c>
      <c r="M72" s="6">
        <f t="shared" si="9"/>
        <v>2024</v>
      </c>
      <c r="N72" s="6" t="str">
        <f t="shared" si="10"/>
        <v>Feb-2024</v>
      </c>
    </row>
    <row r="73" spans="1:14">
      <c r="A73">
        <v>72</v>
      </c>
      <c r="B73" s="2">
        <v>45356</v>
      </c>
      <c r="C73" t="s">
        <v>21</v>
      </c>
      <c r="D73" t="s">
        <v>31</v>
      </c>
      <c r="E73" t="s">
        <v>20</v>
      </c>
      <c r="F73">
        <v>218</v>
      </c>
      <c r="G73" s="4">
        <v>7125</v>
      </c>
      <c r="H73" t="s">
        <v>24</v>
      </c>
      <c r="I73">
        <v>42</v>
      </c>
      <c r="J73" t="str">
        <f>IF('Production Dataset'!I73&lt;35,"A1",IF('Production Dataset'!I73&lt;45,"A2","A3"))</f>
        <v>A2</v>
      </c>
      <c r="K73" s="5">
        <f t="shared" si="11"/>
        <v>32.6834862385321</v>
      </c>
      <c r="L73" s="6">
        <f t="shared" si="8"/>
        <v>32.6834862385321</v>
      </c>
      <c r="M73" s="6">
        <f t="shared" si="9"/>
        <v>2024</v>
      </c>
      <c r="N73" s="6" t="str">
        <f t="shared" si="10"/>
        <v>Mar-2024</v>
      </c>
    </row>
    <row r="74" spans="1:14">
      <c r="A74">
        <v>73</v>
      </c>
      <c r="B74" s="2">
        <v>45506</v>
      </c>
      <c r="C74" t="s">
        <v>18</v>
      </c>
      <c r="D74" t="s">
        <v>31</v>
      </c>
      <c r="E74" t="s">
        <v>23</v>
      </c>
      <c r="F74">
        <v>265</v>
      </c>
      <c r="G74" s="4">
        <v>12320</v>
      </c>
      <c r="H74" t="s">
        <v>17</v>
      </c>
      <c r="I74">
        <v>42</v>
      </c>
      <c r="J74" t="str">
        <f>IF('Production Dataset'!I74&lt;35,"A1",IF('Production Dataset'!I74&lt;45,"A2","A3"))</f>
        <v>A2</v>
      </c>
      <c r="K74" s="5">
        <f t="shared" si="11"/>
        <v>46.4905660377358</v>
      </c>
      <c r="L74" s="6">
        <f t="shared" si="8"/>
        <v>46.4905660377358</v>
      </c>
      <c r="M74" s="6">
        <f t="shared" si="9"/>
        <v>2024</v>
      </c>
      <c r="N74" s="6" t="str">
        <f t="shared" si="10"/>
        <v>Aug-2024</v>
      </c>
    </row>
    <row r="75" spans="1:14">
      <c r="A75">
        <v>74</v>
      </c>
      <c r="B75" s="2">
        <v>45197</v>
      </c>
      <c r="C75" t="s">
        <v>18</v>
      </c>
      <c r="D75" t="s">
        <v>19</v>
      </c>
      <c r="E75" t="s">
        <v>30</v>
      </c>
      <c r="F75">
        <v>213</v>
      </c>
      <c r="G75" s="4">
        <v>42028</v>
      </c>
      <c r="H75" t="s">
        <v>17</v>
      </c>
      <c r="I75">
        <v>52</v>
      </c>
      <c r="J75" t="str">
        <f>IF('Production Dataset'!I75&lt;35,"A1",IF('Production Dataset'!I75&lt;45,"A2","A3"))</f>
        <v>A3</v>
      </c>
      <c r="K75" s="5">
        <f t="shared" si="11"/>
        <v>197.31455399061</v>
      </c>
      <c r="L75" s="6">
        <f t="shared" si="8"/>
        <v>197.31455399061</v>
      </c>
      <c r="M75" s="6">
        <f t="shared" si="9"/>
        <v>2023</v>
      </c>
      <c r="N75" s="6" t="str">
        <f t="shared" si="10"/>
        <v>Sep-2023</v>
      </c>
    </row>
    <row r="76" spans="1:14">
      <c r="A76">
        <v>75</v>
      </c>
      <c r="B76" s="2">
        <v>45357</v>
      </c>
      <c r="C76" t="s">
        <v>18</v>
      </c>
      <c r="D76" t="s">
        <v>29</v>
      </c>
      <c r="E76" t="s">
        <v>16</v>
      </c>
      <c r="F76">
        <v>128</v>
      </c>
      <c r="G76" s="4">
        <v>679</v>
      </c>
      <c r="H76" t="s">
        <v>24</v>
      </c>
      <c r="I76">
        <v>28</v>
      </c>
      <c r="J76" t="str">
        <f>IF('Production Dataset'!I76&lt;35,"A1",IF('Production Dataset'!I76&lt;45,"A2","A3"))</f>
        <v>A1</v>
      </c>
      <c r="K76" s="5">
        <f t="shared" si="11"/>
        <v>5.3046875</v>
      </c>
      <c r="L76" s="6">
        <f t="shared" si="8"/>
        <v>5.3046875</v>
      </c>
      <c r="M76" s="6">
        <f t="shared" si="9"/>
        <v>2024</v>
      </c>
      <c r="N76" s="6" t="str">
        <f t="shared" si="10"/>
        <v>Mar-2024</v>
      </c>
    </row>
    <row r="77" spans="1:14">
      <c r="A77">
        <v>76</v>
      </c>
      <c r="B77" s="2">
        <v>45217</v>
      </c>
      <c r="C77" t="s">
        <v>21</v>
      </c>
      <c r="D77" t="s">
        <v>15</v>
      </c>
      <c r="E77" t="s">
        <v>30</v>
      </c>
      <c r="F77">
        <v>208</v>
      </c>
      <c r="G77" s="4">
        <v>25758</v>
      </c>
      <c r="H77" t="s">
        <v>26</v>
      </c>
      <c r="I77">
        <v>25</v>
      </c>
      <c r="J77" t="str">
        <f>IF('Production Dataset'!I77&lt;35,"A1",IF('Production Dataset'!I77&lt;45,"A2","A3"))</f>
        <v>A1</v>
      </c>
      <c r="K77" s="5">
        <f t="shared" si="11"/>
        <v>123.836538461538</v>
      </c>
      <c r="L77" s="6">
        <f t="shared" si="8"/>
        <v>123.836538461538</v>
      </c>
      <c r="M77" s="6">
        <f t="shared" si="9"/>
        <v>2023</v>
      </c>
      <c r="N77" s="6" t="str">
        <f t="shared" si="10"/>
        <v>Oct-2023</v>
      </c>
    </row>
    <row r="78" spans="1:14">
      <c r="A78">
        <v>77</v>
      </c>
      <c r="B78" s="2">
        <v>45478</v>
      </c>
      <c r="C78" t="s">
        <v>18</v>
      </c>
      <c r="D78" t="s">
        <v>31</v>
      </c>
      <c r="E78" t="s">
        <v>20</v>
      </c>
      <c r="F78">
        <v>115</v>
      </c>
      <c r="G78" s="4">
        <v>34804</v>
      </c>
      <c r="H78" t="s">
        <v>17</v>
      </c>
      <c r="I78">
        <v>42</v>
      </c>
      <c r="J78" t="str">
        <f>IF('Production Dataset'!I78&lt;35,"A1",IF('Production Dataset'!I78&lt;45,"A2","A3"))</f>
        <v>A2</v>
      </c>
      <c r="K78" s="5">
        <f t="shared" si="11"/>
        <v>302.64347826087</v>
      </c>
      <c r="L78" s="6">
        <f t="shared" si="8"/>
        <v>302.64347826087</v>
      </c>
      <c r="M78" s="6">
        <f t="shared" si="9"/>
        <v>2024</v>
      </c>
      <c r="N78" s="6" t="str">
        <f t="shared" si="10"/>
        <v>Jul-2024</v>
      </c>
    </row>
    <row r="79" spans="1:14">
      <c r="A79">
        <v>78</v>
      </c>
      <c r="B79" s="2">
        <v>45469</v>
      </c>
      <c r="C79" t="s">
        <v>14</v>
      </c>
      <c r="D79" t="s">
        <v>27</v>
      </c>
      <c r="E79" t="s">
        <v>16</v>
      </c>
      <c r="F79">
        <v>465</v>
      </c>
      <c r="G79" s="4">
        <v>679</v>
      </c>
      <c r="H79" t="s">
        <v>17</v>
      </c>
      <c r="I79">
        <v>26</v>
      </c>
      <c r="J79" t="str">
        <f>IF('Production Dataset'!I79&lt;35,"A1",IF('Production Dataset'!I79&lt;45,"A2","A3"))</f>
        <v>A1</v>
      </c>
      <c r="K79" s="5">
        <f t="shared" si="11"/>
        <v>1.46021505376344</v>
      </c>
      <c r="L79" s="6">
        <f t="shared" si="8"/>
        <v>1.46021505376344</v>
      </c>
      <c r="M79" s="6">
        <f t="shared" si="9"/>
        <v>2024</v>
      </c>
      <c r="N79" s="6" t="str">
        <f t="shared" si="10"/>
        <v>Jun-2024</v>
      </c>
    </row>
    <row r="80" spans="1:14">
      <c r="A80">
        <v>79</v>
      </c>
      <c r="B80" s="2">
        <v>45544</v>
      </c>
      <c r="C80" t="s">
        <v>34</v>
      </c>
      <c r="D80" t="s">
        <v>31</v>
      </c>
      <c r="E80" t="s">
        <v>23</v>
      </c>
      <c r="F80">
        <v>519</v>
      </c>
      <c r="G80" s="4">
        <v>45312</v>
      </c>
      <c r="H80" t="s">
        <v>24</v>
      </c>
      <c r="I80">
        <v>42</v>
      </c>
      <c r="J80" t="str">
        <f>IF('Production Dataset'!I80&lt;35,"A1",IF('Production Dataset'!I80&lt;45,"A2","A3"))</f>
        <v>A2</v>
      </c>
      <c r="K80" s="5">
        <f t="shared" si="11"/>
        <v>87.3063583815029</v>
      </c>
      <c r="L80" s="6">
        <f t="shared" si="8"/>
        <v>87.3063583815029</v>
      </c>
      <c r="M80" s="6">
        <f t="shared" si="9"/>
        <v>2024</v>
      </c>
      <c r="N80" s="6" t="str">
        <f t="shared" si="10"/>
        <v>Sep-2024</v>
      </c>
    </row>
    <row r="81" spans="1:14">
      <c r="A81">
        <v>80</v>
      </c>
      <c r="B81" s="2">
        <v>45350</v>
      </c>
      <c r="C81" t="s">
        <v>14</v>
      </c>
      <c r="D81" t="s">
        <v>25</v>
      </c>
      <c r="E81" t="s">
        <v>23</v>
      </c>
      <c r="F81">
        <v>380</v>
      </c>
      <c r="G81" s="4">
        <v>44525</v>
      </c>
      <c r="H81" t="s">
        <v>26</v>
      </c>
      <c r="I81">
        <v>57</v>
      </c>
      <c r="J81" t="str">
        <f>IF('Production Dataset'!I81&lt;35,"A1",IF('Production Dataset'!I81&lt;45,"A2","A3"))</f>
        <v>A3</v>
      </c>
      <c r="K81" s="5">
        <f t="shared" si="11"/>
        <v>117.171052631579</v>
      </c>
      <c r="L81" s="6">
        <f t="shared" si="8"/>
        <v>117.171052631579</v>
      </c>
      <c r="M81" s="6">
        <f t="shared" si="9"/>
        <v>2024</v>
      </c>
      <c r="N81" s="6" t="str">
        <f t="shared" si="10"/>
        <v>Feb-2024</v>
      </c>
    </row>
    <row r="82" spans="1:14">
      <c r="A82">
        <v>81</v>
      </c>
      <c r="B82" s="2">
        <v>45335</v>
      </c>
      <c r="C82" t="s">
        <v>34</v>
      </c>
      <c r="D82" t="s">
        <v>31</v>
      </c>
      <c r="E82" t="s">
        <v>16</v>
      </c>
      <c r="F82">
        <v>32</v>
      </c>
      <c r="G82" s="4">
        <v>3132</v>
      </c>
      <c r="H82" t="s">
        <v>24</v>
      </c>
      <c r="I82">
        <v>42</v>
      </c>
      <c r="J82" t="str">
        <f>IF('Production Dataset'!I82&lt;35,"A1",IF('Production Dataset'!I82&lt;45,"A2","A3"))</f>
        <v>A2</v>
      </c>
      <c r="K82" s="5">
        <f t="shared" si="11"/>
        <v>97.875</v>
      </c>
      <c r="L82" s="6">
        <f t="shared" si="8"/>
        <v>97.875</v>
      </c>
      <c r="M82" s="6">
        <f t="shared" si="9"/>
        <v>2024</v>
      </c>
      <c r="N82" s="6" t="str">
        <f t="shared" si="10"/>
        <v>Feb-2024</v>
      </c>
    </row>
    <row r="83" spans="1:14">
      <c r="A83">
        <v>82</v>
      </c>
      <c r="B83" s="2">
        <v>45457</v>
      </c>
      <c r="C83" t="s">
        <v>34</v>
      </c>
      <c r="D83" t="s">
        <v>15</v>
      </c>
      <c r="E83" t="s">
        <v>20</v>
      </c>
      <c r="F83">
        <v>130</v>
      </c>
      <c r="G83" s="4">
        <v>16740</v>
      </c>
      <c r="H83" t="s">
        <v>17</v>
      </c>
      <c r="I83">
        <v>25</v>
      </c>
      <c r="J83" t="str">
        <f>IF('Production Dataset'!I83&lt;35,"A1",IF('Production Dataset'!I83&lt;45,"A2","A3"))</f>
        <v>A1</v>
      </c>
      <c r="K83" s="5">
        <f t="shared" si="11"/>
        <v>128.769230769231</v>
      </c>
      <c r="L83" s="6">
        <f t="shared" si="8"/>
        <v>128.769230769231</v>
      </c>
      <c r="M83" s="6">
        <f t="shared" si="9"/>
        <v>2024</v>
      </c>
      <c r="N83" s="6" t="str">
        <f t="shared" si="10"/>
        <v>Jun-2024</v>
      </c>
    </row>
    <row r="84" spans="1:14">
      <c r="A84">
        <v>83</v>
      </c>
      <c r="B84" s="2">
        <v>45254</v>
      </c>
      <c r="C84" t="s">
        <v>18</v>
      </c>
      <c r="D84" t="s">
        <v>27</v>
      </c>
      <c r="E84" t="s">
        <v>23</v>
      </c>
      <c r="F84">
        <v>545</v>
      </c>
      <c r="G84" s="4">
        <v>65250</v>
      </c>
      <c r="H84" t="s">
        <v>17</v>
      </c>
      <c r="I84">
        <v>26</v>
      </c>
      <c r="J84" t="str">
        <f>IF('Production Dataset'!I84&lt;35,"A1",IF('Production Dataset'!I84&lt;45,"A2","A3"))</f>
        <v>A1</v>
      </c>
      <c r="K84" s="5">
        <f t="shared" si="11"/>
        <v>119.724770642202</v>
      </c>
      <c r="L84" s="6">
        <f t="shared" si="8"/>
        <v>119.724770642202</v>
      </c>
      <c r="M84" s="6">
        <f t="shared" si="9"/>
        <v>2023</v>
      </c>
      <c r="N84" s="6" t="str">
        <f t="shared" si="10"/>
        <v>Nov-2023</v>
      </c>
    </row>
    <row r="85" spans="1:14">
      <c r="A85">
        <v>84</v>
      </c>
      <c r="B85" s="2">
        <v>45369</v>
      </c>
      <c r="C85" t="s">
        <v>18</v>
      </c>
      <c r="D85" t="s">
        <v>28</v>
      </c>
      <c r="E85" t="s">
        <v>30</v>
      </c>
      <c r="F85">
        <v>84</v>
      </c>
      <c r="G85" s="4">
        <v>10688</v>
      </c>
      <c r="H85" t="s">
        <v>17</v>
      </c>
      <c r="I85">
        <v>28</v>
      </c>
      <c r="J85" t="str">
        <f>IF('Production Dataset'!I85&lt;35,"A1",IF('Production Dataset'!I85&lt;45,"A2","A3"))</f>
        <v>A1</v>
      </c>
      <c r="K85" s="5">
        <f t="shared" si="11"/>
        <v>127.238095238095</v>
      </c>
      <c r="L85" s="6">
        <f t="shared" si="8"/>
        <v>127.238095238095</v>
      </c>
      <c r="M85" s="6">
        <f t="shared" si="9"/>
        <v>2024</v>
      </c>
      <c r="N85" s="6" t="str">
        <f t="shared" si="10"/>
        <v>Mar-2024</v>
      </c>
    </row>
    <row r="86" spans="1:14">
      <c r="A86">
        <v>85</v>
      </c>
      <c r="B86" s="2">
        <v>45309</v>
      </c>
      <c r="C86" t="s">
        <v>18</v>
      </c>
      <c r="D86" t="s">
        <v>31</v>
      </c>
      <c r="E86" t="s">
        <v>30</v>
      </c>
      <c r="F86">
        <v>192</v>
      </c>
      <c r="G86" s="4">
        <v>18648</v>
      </c>
      <c r="H86" t="s">
        <v>17</v>
      </c>
      <c r="I86">
        <v>42</v>
      </c>
      <c r="J86" t="str">
        <f>IF('Production Dataset'!I86&lt;35,"A1",IF('Production Dataset'!I86&lt;45,"A2","A3"))</f>
        <v>A2</v>
      </c>
      <c r="K86" s="5">
        <f t="shared" si="11"/>
        <v>97.125</v>
      </c>
      <c r="L86" s="6">
        <f t="shared" si="8"/>
        <v>97.125</v>
      </c>
      <c r="M86" s="6">
        <f t="shared" si="9"/>
        <v>2024</v>
      </c>
      <c r="N86" s="6" t="str">
        <f t="shared" si="10"/>
        <v>Jan-2024</v>
      </c>
    </row>
    <row r="87" spans="1:14">
      <c r="A87">
        <v>86</v>
      </c>
      <c r="B87" s="2">
        <v>45307</v>
      </c>
      <c r="C87" t="s">
        <v>14</v>
      </c>
      <c r="D87" t="s">
        <v>28</v>
      </c>
      <c r="E87" t="s">
        <v>16</v>
      </c>
      <c r="F87">
        <v>60</v>
      </c>
      <c r="G87" s="4">
        <v>5822</v>
      </c>
      <c r="H87" t="s">
        <v>24</v>
      </c>
      <c r="I87">
        <v>28</v>
      </c>
      <c r="J87" t="str">
        <f>IF('Production Dataset'!I87&lt;35,"A1",IF('Production Dataset'!I87&lt;45,"A2","A3"))</f>
        <v>A1</v>
      </c>
      <c r="K87" s="5">
        <f t="shared" si="11"/>
        <v>97.0333333333333</v>
      </c>
      <c r="L87" s="6">
        <f t="shared" si="8"/>
        <v>97.0333333333333</v>
      </c>
      <c r="M87" s="6">
        <f t="shared" si="9"/>
        <v>2024</v>
      </c>
      <c r="N87" s="6" t="str">
        <f t="shared" si="10"/>
        <v>Jan-2024</v>
      </c>
    </row>
    <row r="88" spans="1:14">
      <c r="A88">
        <v>87</v>
      </c>
      <c r="B88" s="2">
        <v>45330</v>
      </c>
      <c r="C88" t="s">
        <v>18</v>
      </c>
      <c r="D88" t="s">
        <v>31</v>
      </c>
      <c r="E88" t="s">
        <v>20</v>
      </c>
      <c r="F88">
        <v>209</v>
      </c>
      <c r="G88" s="4">
        <v>51221</v>
      </c>
      <c r="H88" t="s">
        <v>17</v>
      </c>
      <c r="I88">
        <v>42</v>
      </c>
      <c r="J88" t="str">
        <f>IF('Production Dataset'!I88&lt;35,"A1",IF('Production Dataset'!I88&lt;45,"A2","A3"))</f>
        <v>A2</v>
      </c>
      <c r="K88" s="5">
        <f t="shared" si="11"/>
        <v>245.076555023923</v>
      </c>
      <c r="L88" s="6">
        <f t="shared" si="8"/>
        <v>245.076555023923</v>
      </c>
      <c r="M88" s="6">
        <f t="shared" si="9"/>
        <v>2024</v>
      </c>
      <c r="N88" s="6" t="str">
        <f t="shared" si="10"/>
        <v>Feb-2024</v>
      </c>
    </row>
    <row r="89" spans="1:14">
      <c r="A89">
        <v>88</v>
      </c>
      <c r="B89" s="2">
        <v>45305</v>
      </c>
      <c r="C89" t="s">
        <v>21</v>
      </c>
      <c r="D89" t="s">
        <v>28</v>
      </c>
      <c r="E89" t="s">
        <v>20</v>
      </c>
      <c r="F89">
        <v>264</v>
      </c>
      <c r="G89" s="4">
        <v>75332</v>
      </c>
      <c r="H89" t="s">
        <v>17</v>
      </c>
      <c r="I89">
        <v>28</v>
      </c>
      <c r="J89" t="str">
        <f>IF('Production Dataset'!I89&lt;35,"A1",IF('Production Dataset'!I89&lt;45,"A2","A3"))</f>
        <v>A1</v>
      </c>
      <c r="K89" s="5">
        <f t="shared" si="11"/>
        <v>285.348484848485</v>
      </c>
      <c r="L89" s="6">
        <f t="shared" si="8"/>
        <v>285.348484848485</v>
      </c>
      <c r="M89" s="6">
        <f t="shared" si="9"/>
        <v>2024</v>
      </c>
      <c r="N89" s="6" t="str">
        <f t="shared" si="10"/>
        <v>Jan-2024</v>
      </c>
    </row>
    <row r="90" spans="1:14">
      <c r="A90">
        <v>89</v>
      </c>
      <c r="B90" s="2">
        <v>45348</v>
      </c>
      <c r="C90" t="s">
        <v>18</v>
      </c>
      <c r="D90" t="s">
        <v>27</v>
      </c>
      <c r="E90" t="s">
        <v>30</v>
      </c>
      <c r="F90">
        <v>97</v>
      </c>
      <c r="G90" s="4">
        <v>679</v>
      </c>
      <c r="H90" t="s">
        <v>17</v>
      </c>
      <c r="I90">
        <v>26</v>
      </c>
      <c r="J90" t="str">
        <f>IF('Production Dataset'!I90&lt;35,"A1",IF('Production Dataset'!I90&lt;45,"A2","A3"))</f>
        <v>A1</v>
      </c>
      <c r="K90" s="5">
        <f t="shared" si="11"/>
        <v>7</v>
      </c>
      <c r="L90" s="6">
        <f t="shared" si="8"/>
        <v>7</v>
      </c>
      <c r="M90" s="6">
        <f t="shared" si="9"/>
        <v>2024</v>
      </c>
      <c r="N90" s="6" t="str">
        <f t="shared" si="10"/>
        <v>Feb-2024</v>
      </c>
    </row>
    <row r="91" spans="1:14">
      <c r="A91">
        <v>90</v>
      </c>
      <c r="B91" s="2">
        <v>45289</v>
      </c>
      <c r="C91" t="s">
        <v>18</v>
      </c>
      <c r="D91" t="s">
        <v>27</v>
      </c>
      <c r="E91" t="s">
        <v>20</v>
      </c>
      <c r="F91">
        <v>404</v>
      </c>
      <c r="G91" s="4">
        <v>13310</v>
      </c>
      <c r="H91" t="s">
        <v>17</v>
      </c>
      <c r="I91">
        <v>26</v>
      </c>
      <c r="J91" t="str">
        <f>IF('Production Dataset'!I91&lt;35,"A1",IF('Production Dataset'!I91&lt;45,"A2","A3"))</f>
        <v>A1</v>
      </c>
      <c r="K91" s="5">
        <f t="shared" si="11"/>
        <v>32.9455445544554</v>
      </c>
      <c r="L91" s="6">
        <f t="shared" si="8"/>
        <v>32.9455445544554</v>
      </c>
      <c r="M91" s="6">
        <f t="shared" si="9"/>
        <v>2023</v>
      </c>
      <c r="N91" s="6" t="str">
        <f t="shared" si="10"/>
        <v>Dec-2023</v>
      </c>
    </row>
    <row r="92" spans="1:14">
      <c r="A92">
        <v>91</v>
      </c>
      <c r="B92" s="2">
        <v>45444</v>
      </c>
      <c r="C92" t="s">
        <v>21</v>
      </c>
      <c r="D92" t="s">
        <v>31</v>
      </c>
      <c r="E92" t="s">
        <v>23</v>
      </c>
      <c r="F92">
        <v>386</v>
      </c>
      <c r="G92" s="4">
        <v>47952</v>
      </c>
      <c r="H92" t="s">
        <v>24</v>
      </c>
      <c r="I92">
        <v>42</v>
      </c>
      <c r="J92" t="str">
        <f>IF('Production Dataset'!I92&lt;35,"A1",IF('Production Dataset'!I92&lt;45,"A2","A3"))</f>
        <v>A2</v>
      </c>
      <c r="K92" s="5">
        <f t="shared" si="11"/>
        <v>124.227979274611</v>
      </c>
      <c r="L92" s="6">
        <f t="shared" si="8"/>
        <v>124.227979274611</v>
      </c>
      <c r="M92" s="6">
        <f t="shared" si="9"/>
        <v>2024</v>
      </c>
      <c r="N92" s="6" t="str">
        <f t="shared" si="10"/>
        <v>Jun-2024</v>
      </c>
    </row>
    <row r="93" spans="1:14">
      <c r="A93">
        <v>92</v>
      </c>
      <c r="B93" s="2">
        <v>45329</v>
      </c>
      <c r="C93" t="s">
        <v>14</v>
      </c>
      <c r="D93" t="s">
        <v>15</v>
      </c>
      <c r="E93" t="s">
        <v>23</v>
      </c>
      <c r="F93">
        <v>214</v>
      </c>
      <c r="G93" s="4">
        <v>4984</v>
      </c>
      <c r="H93" t="s">
        <v>24</v>
      </c>
      <c r="I93">
        <v>25</v>
      </c>
      <c r="J93" t="str">
        <f>IF('Production Dataset'!I93&lt;35,"A1",IF('Production Dataset'!I93&lt;45,"A2","A3"))</f>
        <v>A1</v>
      </c>
      <c r="K93" s="5">
        <f t="shared" si="11"/>
        <v>23.2897196261682</v>
      </c>
      <c r="L93" s="6">
        <f t="shared" si="8"/>
        <v>23.2897196261682</v>
      </c>
      <c r="M93" s="6">
        <f t="shared" si="9"/>
        <v>2024</v>
      </c>
      <c r="N93" s="6" t="str">
        <f t="shared" si="10"/>
        <v>Feb-2024</v>
      </c>
    </row>
    <row r="94" spans="1:14">
      <c r="A94">
        <v>93</v>
      </c>
      <c r="B94" s="2">
        <v>45277</v>
      </c>
      <c r="C94" t="s">
        <v>14</v>
      </c>
      <c r="D94" t="s">
        <v>29</v>
      </c>
      <c r="E94" t="s">
        <v>16</v>
      </c>
      <c r="F94">
        <v>366</v>
      </c>
      <c r="G94" s="4">
        <v>4131</v>
      </c>
      <c r="H94" t="s">
        <v>24</v>
      </c>
      <c r="I94">
        <v>28</v>
      </c>
      <c r="J94" t="str">
        <f>IF('Production Dataset'!I94&lt;35,"A1",IF('Production Dataset'!I94&lt;45,"A2","A3"))</f>
        <v>A1</v>
      </c>
      <c r="K94" s="5">
        <f t="shared" si="11"/>
        <v>11.2868852459016</v>
      </c>
      <c r="L94" s="6">
        <f t="shared" si="8"/>
        <v>11.2868852459016</v>
      </c>
      <c r="M94" s="6">
        <f t="shared" si="9"/>
        <v>2023</v>
      </c>
      <c r="N94" s="6" t="str">
        <f t="shared" si="10"/>
        <v>Dec-2023</v>
      </c>
    </row>
    <row r="95" spans="1:14">
      <c r="A95">
        <v>94</v>
      </c>
      <c r="B95" s="2">
        <v>45427</v>
      </c>
      <c r="C95" t="s">
        <v>21</v>
      </c>
      <c r="D95" t="s">
        <v>32</v>
      </c>
      <c r="E95" t="s">
        <v>16</v>
      </c>
      <c r="F95">
        <v>173</v>
      </c>
      <c r="G95" s="4">
        <v>24549</v>
      </c>
      <c r="H95" t="s">
        <v>24</v>
      </c>
      <c r="I95">
        <v>25</v>
      </c>
      <c r="J95" t="str">
        <f>IF('Production Dataset'!I95&lt;35,"A1",IF('Production Dataset'!I95&lt;45,"A2","A3"))</f>
        <v>A1</v>
      </c>
      <c r="K95" s="5">
        <f t="shared" si="11"/>
        <v>141.901734104046</v>
      </c>
      <c r="L95" s="6">
        <f t="shared" si="8"/>
        <v>141.901734104046</v>
      </c>
      <c r="M95" s="6">
        <f t="shared" si="9"/>
        <v>2024</v>
      </c>
      <c r="N95" s="6" t="str">
        <f t="shared" si="10"/>
        <v>May-2024</v>
      </c>
    </row>
    <row r="96" spans="1:14">
      <c r="A96">
        <v>95</v>
      </c>
      <c r="B96" s="2">
        <v>45521</v>
      </c>
      <c r="C96" t="s">
        <v>21</v>
      </c>
      <c r="D96" t="s">
        <v>31</v>
      </c>
      <c r="E96" t="s">
        <v>20</v>
      </c>
      <c r="F96">
        <v>306</v>
      </c>
      <c r="G96" s="4">
        <v>679</v>
      </c>
      <c r="H96" t="s">
        <v>17</v>
      </c>
      <c r="I96">
        <v>42</v>
      </c>
      <c r="J96" t="str">
        <f>IF('Production Dataset'!I96&lt;35,"A1",IF('Production Dataset'!I96&lt;45,"A2","A3"))</f>
        <v>A2</v>
      </c>
      <c r="K96" s="5">
        <f t="shared" si="11"/>
        <v>2.21895424836601</v>
      </c>
      <c r="L96" s="6">
        <f t="shared" si="8"/>
        <v>2.21895424836601</v>
      </c>
      <c r="M96" s="6">
        <f t="shared" si="9"/>
        <v>2024</v>
      </c>
      <c r="N96" s="6" t="str">
        <f t="shared" si="10"/>
        <v>Aug-2024</v>
      </c>
    </row>
    <row r="97" spans="1:14">
      <c r="A97">
        <v>96</v>
      </c>
      <c r="B97" s="2">
        <v>45347</v>
      </c>
      <c r="C97" t="s">
        <v>21</v>
      </c>
      <c r="D97" t="s">
        <v>28</v>
      </c>
      <c r="E97" t="s">
        <v>16</v>
      </c>
      <c r="F97">
        <v>128</v>
      </c>
      <c r="G97" s="4">
        <v>35088</v>
      </c>
      <c r="H97" t="s">
        <v>24</v>
      </c>
      <c r="I97">
        <v>28</v>
      </c>
      <c r="J97" t="str">
        <f>IF('Production Dataset'!I97&lt;35,"A1",IF('Production Dataset'!I97&lt;45,"A2","A3"))</f>
        <v>A1</v>
      </c>
      <c r="K97" s="5">
        <f t="shared" si="11"/>
        <v>274.125</v>
      </c>
      <c r="L97" s="6">
        <f t="shared" si="8"/>
        <v>274.125</v>
      </c>
      <c r="M97" s="6">
        <f t="shared" si="9"/>
        <v>2024</v>
      </c>
      <c r="N97" s="6" t="str">
        <f t="shared" si="10"/>
        <v>Feb-2024</v>
      </c>
    </row>
    <row r="98" spans="1:14">
      <c r="A98">
        <v>97</v>
      </c>
      <c r="B98" s="2">
        <v>45293</v>
      </c>
      <c r="C98" t="s">
        <v>18</v>
      </c>
      <c r="D98" t="s">
        <v>15</v>
      </c>
      <c r="E98" t="s">
        <v>30</v>
      </c>
      <c r="F98">
        <v>368</v>
      </c>
      <c r="G98" s="4">
        <v>25254</v>
      </c>
      <c r="H98" t="s">
        <v>17</v>
      </c>
      <c r="I98">
        <v>25</v>
      </c>
      <c r="J98" t="str">
        <f>IF('Production Dataset'!I98&lt;35,"A1",IF('Production Dataset'!I98&lt;45,"A2","A3"))</f>
        <v>A1</v>
      </c>
      <c r="K98" s="5">
        <f t="shared" si="11"/>
        <v>68.625</v>
      </c>
      <c r="L98" s="6">
        <f t="shared" ref="L98:L121" si="12">G98/F98</f>
        <v>68.625</v>
      </c>
      <c r="M98" s="6">
        <f t="shared" ref="M98:M121" si="13">YEAR(B98)</f>
        <v>2024</v>
      </c>
      <c r="N98" s="6" t="str">
        <f t="shared" ref="N98:N121" si="14">TEXT(B98,"MMM-YYYY")</f>
        <v>Jan-2024</v>
      </c>
    </row>
    <row r="99" spans="1:14">
      <c r="A99">
        <v>98</v>
      </c>
      <c r="B99" s="2">
        <v>45282</v>
      </c>
      <c r="C99" t="s">
        <v>18</v>
      </c>
      <c r="D99" t="s">
        <v>25</v>
      </c>
      <c r="E99" t="s">
        <v>23</v>
      </c>
      <c r="F99">
        <v>222</v>
      </c>
      <c r="G99" s="4">
        <v>17500</v>
      </c>
      <c r="H99" t="s">
        <v>24</v>
      </c>
      <c r="I99">
        <v>57</v>
      </c>
      <c r="J99" t="str">
        <f>IF('Production Dataset'!I99&lt;35,"A1",IF('Production Dataset'!I99&lt;45,"A2","A3"))</f>
        <v>A3</v>
      </c>
      <c r="K99" s="5">
        <f t="shared" ref="K99:K121" si="15">G99/F99</f>
        <v>78.8288288288288</v>
      </c>
      <c r="L99" s="6">
        <f t="shared" si="12"/>
        <v>78.8288288288288</v>
      </c>
      <c r="M99" s="6">
        <f t="shared" si="13"/>
        <v>2023</v>
      </c>
      <c r="N99" s="6" t="str">
        <f t="shared" si="14"/>
        <v>Dec-2023</v>
      </c>
    </row>
    <row r="100" spans="1:14">
      <c r="A100">
        <v>99</v>
      </c>
      <c r="B100" s="2">
        <v>45464</v>
      </c>
      <c r="C100" t="s">
        <v>18</v>
      </c>
      <c r="D100" t="s">
        <v>31</v>
      </c>
      <c r="E100" t="s">
        <v>30</v>
      </c>
      <c r="F100">
        <v>216</v>
      </c>
      <c r="G100" s="4">
        <v>36934</v>
      </c>
      <c r="H100" t="s">
        <v>17</v>
      </c>
      <c r="I100">
        <v>42</v>
      </c>
      <c r="J100" t="str">
        <f>IF('Production Dataset'!I100&lt;35,"A1",IF('Production Dataset'!I100&lt;45,"A2","A3"))</f>
        <v>A2</v>
      </c>
      <c r="K100" s="5">
        <f t="shared" si="15"/>
        <v>170.990740740741</v>
      </c>
      <c r="L100" s="6">
        <f t="shared" si="12"/>
        <v>170.990740740741</v>
      </c>
      <c r="M100" s="6">
        <f t="shared" si="13"/>
        <v>2024</v>
      </c>
      <c r="N100" s="6" t="str">
        <f t="shared" si="14"/>
        <v>Jun-2024</v>
      </c>
    </row>
    <row r="101" spans="1:14">
      <c r="A101">
        <v>100</v>
      </c>
      <c r="B101" s="2">
        <v>45286</v>
      </c>
      <c r="C101" t="s">
        <v>18</v>
      </c>
      <c r="D101" t="s">
        <v>19</v>
      </c>
      <c r="E101" t="s">
        <v>30</v>
      </c>
      <c r="F101">
        <v>307</v>
      </c>
      <c r="G101" s="4">
        <v>679</v>
      </c>
      <c r="H101" t="s">
        <v>17</v>
      </c>
      <c r="I101">
        <v>52</v>
      </c>
      <c r="J101" t="str">
        <f>IF('Production Dataset'!I101&lt;35,"A1",IF('Production Dataset'!I101&lt;45,"A2","A3"))</f>
        <v>A3</v>
      </c>
      <c r="K101" s="5">
        <f t="shared" si="15"/>
        <v>2.21172638436482</v>
      </c>
      <c r="L101" s="6">
        <f t="shared" si="12"/>
        <v>2.21172638436482</v>
      </c>
      <c r="M101" s="6">
        <f t="shared" si="13"/>
        <v>2023</v>
      </c>
      <c r="N101" s="6" t="str">
        <f t="shared" si="14"/>
        <v>Dec-2023</v>
      </c>
    </row>
    <row r="102" spans="1:14">
      <c r="A102">
        <v>101</v>
      </c>
      <c r="B102" s="2">
        <v>45215</v>
      </c>
      <c r="C102" t="s">
        <v>14</v>
      </c>
      <c r="D102" t="s">
        <v>15</v>
      </c>
      <c r="E102" t="s">
        <v>20</v>
      </c>
      <c r="F102">
        <v>384</v>
      </c>
      <c r="G102" s="4">
        <v>40565</v>
      </c>
      <c r="H102" t="s">
        <v>17</v>
      </c>
      <c r="I102">
        <v>25</v>
      </c>
      <c r="J102" t="str">
        <f>IF('Production Dataset'!I102&lt;35,"A1",IF('Production Dataset'!I102&lt;45,"A2","A3"))</f>
        <v>A1</v>
      </c>
      <c r="K102" s="5">
        <f t="shared" si="15"/>
        <v>105.638020833333</v>
      </c>
      <c r="L102" s="6">
        <f t="shared" si="12"/>
        <v>105.638020833333</v>
      </c>
      <c r="M102" s="6">
        <f t="shared" si="13"/>
        <v>2023</v>
      </c>
      <c r="N102" s="6" t="str">
        <f t="shared" si="14"/>
        <v>Oct-2023</v>
      </c>
    </row>
    <row r="103" spans="1:14">
      <c r="A103">
        <v>102</v>
      </c>
      <c r="B103" s="2">
        <v>45497</v>
      </c>
      <c r="C103" t="s">
        <v>34</v>
      </c>
      <c r="D103" t="s">
        <v>27</v>
      </c>
      <c r="E103" t="s">
        <v>16</v>
      </c>
      <c r="F103">
        <v>376</v>
      </c>
      <c r="G103" s="4">
        <v>679</v>
      </c>
      <c r="H103" t="s">
        <v>17</v>
      </c>
      <c r="I103">
        <v>26</v>
      </c>
      <c r="J103" t="str">
        <f>IF('Production Dataset'!I103&lt;35,"A1",IF('Production Dataset'!I103&lt;45,"A2","A3"))</f>
        <v>A1</v>
      </c>
      <c r="K103" s="5">
        <f t="shared" si="15"/>
        <v>1.80585106382979</v>
      </c>
      <c r="L103" s="6">
        <f t="shared" si="12"/>
        <v>1.80585106382979</v>
      </c>
      <c r="M103" s="6">
        <f t="shared" si="13"/>
        <v>2024</v>
      </c>
      <c r="N103" s="6" t="str">
        <f t="shared" si="14"/>
        <v>Jul-2024</v>
      </c>
    </row>
    <row r="104" spans="1:14">
      <c r="A104">
        <v>103</v>
      </c>
      <c r="B104" s="2">
        <v>45274</v>
      </c>
      <c r="C104" t="s">
        <v>34</v>
      </c>
      <c r="D104" t="s">
        <v>25</v>
      </c>
      <c r="E104" t="s">
        <v>16</v>
      </c>
      <c r="F104">
        <v>97</v>
      </c>
      <c r="G104" s="4">
        <v>679</v>
      </c>
      <c r="H104" t="s">
        <v>17</v>
      </c>
      <c r="I104">
        <v>57</v>
      </c>
      <c r="J104" t="str">
        <f>IF('Production Dataset'!I104&lt;35,"A1",IF('Production Dataset'!I104&lt;45,"A2","A3"))</f>
        <v>A3</v>
      </c>
      <c r="K104" s="5">
        <f t="shared" si="15"/>
        <v>7</v>
      </c>
      <c r="L104" s="6">
        <f t="shared" si="12"/>
        <v>7</v>
      </c>
      <c r="M104" s="6">
        <f t="shared" si="13"/>
        <v>2023</v>
      </c>
      <c r="N104" s="6" t="str">
        <f t="shared" si="14"/>
        <v>Dec-2023</v>
      </c>
    </row>
    <row r="105" spans="1:14">
      <c r="A105">
        <v>104</v>
      </c>
      <c r="B105" s="2">
        <v>45243</v>
      </c>
      <c r="C105" t="s">
        <v>18</v>
      </c>
      <c r="D105" t="s">
        <v>31</v>
      </c>
      <c r="E105" t="s">
        <v>23</v>
      </c>
      <c r="F105">
        <v>359</v>
      </c>
      <c r="G105" s="4">
        <v>12753</v>
      </c>
      <c r="H105" t="s">
        <v>24</v>
      </c>
      <c r="I105">
        <v>42</v>
      </c>
      <c r="J105" t="str">
        <f>IF('Production Dataset'!I105&lt;35,"A1",IF('Production Dataset'!I105&lt;45,"A2","A3"))</f>
        <v>A2</v>
      </c>
      <c r="K105" s="5">
        <f t="shared" si="15"/>
        <v>35.5236768802228</v>
      </c>
      <c r="L105" s="6">
        <f t="shared" si="12"/>
        <v>35.5236768802228</v>
      </c>
      <c r="M105" s="6">
        <f t="shared" si="13"/>
        <v>2023</v>
      </c>
      <c r="N105" s="6" t="str">
        <f t="shared" si="14"/>
        <v>Nov-2023</v>
      </c>
    </row>
    <row r="106" spans="1:14">
      <c r="A106">
        <v>105</v>
      </c>
      <c r="B106" s="2">
        <v>45350</v>
      </c>
      <c r="C106" t="s">
        <v>21</v>
      </c>
      <c r="D106" t="s">
        <v>31</v>
      </c>
      <c r="E106" t="s">
        <v>23</v>
      </c>
      <c r="F106">
        <v>318</v>
      </c>
      <c r="G106" s="4">
        <v>16864</v>
      </c>
      <c r="H106" t="s">
        <v>24</v>
      </c>
      <c r="I106">
        <v>42</v>
      </c>
      <c r="J106" t="str">
        <f>IF('Production Dataset'!I106&lt;35,"A1",IF('Production Dataset'!I106&lt;45,"A2","A3"))</f>
        <v>A2</v>
      </c>
      <c r="K106" s="5">
        <f t="shared" si="15"/>
        <v>53.0314465408805</v>
      </c>
      <c r="L106" s="6">
        <f t="shared" si="12"/>
        <v>53.0314465408805</v>
      </c>
      <c r="M106" s="6">
        <f t="shared" si="13"/>
        <v>2024</v>
      </c>
      <c r="N106" s="6" t="str">
        <f t="shared" si="14"/>
        <v>Feb-2024</v>
      </c>
    </row>
    <row r="107" spans="1:14">
      <c r="A107">
        <v>106</v>
      </c>
      <c r="B107" s="2">
        <v>45392</v>
      </c>
      <c r="C107" t="s">
        <v>14</v>
      </c>
      <c r="D107" t="s">
        <v>31</v>
      </c>
      <c r="E107" t="s">
        <v>16</v>
      </c>
      <c r="F107">
        <v>51</v>
      </c>
      <c r="G107" s="4">
        <v>56888</v>
      </c>
      <c r="H107" t="s">
        <v>17</v>
      </c>
      <c r="I107">
        <v>42</v>
      </c>
      <c r="J107" t="str">
        <f>IF('Production Dataset'!I107&lt;35,"A1",IF('Production Dataset'!I107&lt;45,"A2","A3"))</f>
        <v>A2</v>
      </c>
      <c r="K107" s="5">
        <f t="shared" si="15"/>
        <v>1115.45098039216</v>
      </c>
      <c r="L107" s="6">
        <f t="shared" si="12"/>
        <v>1115.45098039216</v>
      </c>
      <c r="M107" s="6">
        <f t="shared" si="13"/>
        <v>2024</v>
      </c>
      <c r="N107" s="6" t="str">
        <f t="shared" si="14"/>
        <v>Apr-2024</v>
      </c>
    </row>
    <row r="108" spans="1:14">
      <c r="A108">
        <v>107</v>
      </c>
      <c r="B108" s="2">
        <v>45412</v>
      </c>
      <c r="C108" t="s">
        <v>34</v>
      </c>
      <c r="D108" t="s">
        <v>28</v>
      </c>
      <c r="E108" t="s">
        <v>23</v>
      </c>
      <c r="F108">
        <v>236</v>
      </c>
      <c r="G108" s="4">
        <v>679</v>
      </c>
      <c r="H108" t="s">
        <v>26</v>
      </c>
      <c r="I108">
        <v>28</v>
      </c>
      <c r="J108" t="str">
        <f>IF('Production Dataset'!I108&lt;35,"A1",IF('Production Dataset'!I108&lt;45,"A2","A3"))</f>
        <v>A1</v>
      </c>
      <c r="K108" s="5">
        <f t="shared" si="15"/>
        <v>2.8771186440678</v>
      </c>
      <c r="L108" s="6">
        <f t="shared" si="12"/>
        <v>2.8771186440678</v>
      </c>
      <c r="M108" s="6">
        <f t="shared" si="13"/>
        <v>2024</v>
      </c>
      <c r="N108" s="6" t="str">
        <f t="shared" si="14"/>
        <v>Apr-2024</v>
      </c>
    </row>
    <row r="109" spans="1:14">
      <c r="A109">
        <v>108</v>
      </c>
      <c r="B109" s="2">
        <v>45264</v>
      </c>
      <c r="C109" t="s">
        <v>18</v>
      </c>
      <c r="D109" t="s">
        <v>31</v>
      </c>
      <c r="E109" t="s">
        <v>16</v>
      </c>
      <c r="F109">
        <v>214</v>
      </c>
      <c r="G109" s="4">
        <v>31122</v>
      </c>
      <c r="H109" t="s">
        <v>24</v>
      </c>
      <c r="I109">
        <v>42</v>
      </c>
      <c r="J109" t="str">
        <f>IF('Production Dataset'!I109&lt;35,"A1",IF('Production Dataset'!I109&lt;45,"A2","A3"))</f>
        <v>A2</v>
      </c>
      <c r="K109" s="5">
        <f t="shared" si="15"/>
        <v>145.429906542056</v>
      </c>
      <c r="L109" s="6">
        <f t="shared" si="12"/>
        <v>145.429906542056</v>
      </c>
      <c r="M109" s="6">
        <f t="shared" si="13"/>
        <v>2023</v>
      </c>
      <c r="N109" s="6" t="str">
        <f t="shared" si="14"/>
        <v>Dec-2023</v>
      </c>
    </row>
    <row r="110" spans="1:14">
      <c r="A110">
        <v>109</v>
      </c>
      <c r="B110" s="2">
        <v>45256</v>
      </c>
      <c r="C110" t="s">
        <v>34</v>
      </c>
      <c r="D110" t="s">
        <v>29</v>
      </c>
      <c r="E110" t="s">
        <v>16</v>
      </c>
      <c r="F110">
        <v>86</v>
      </c>
      <c r="G110" s="4">
        <v>25853</v>
      </c>
      <c r="H110" t="s">
        <v>17</v>
      </c>
      <c r="I110">
        <v>28</v>
      </c>
      <c r="J110" t="str">
        <f>IF('Production Dataset'!I110&lt;35,"A1",IF('Production Dataset'!I110&lt;45,"A2","A3"))</f>
        <v>A1</v>
      </c>
      <c r="K110" s="5">
        <f t="shared" si="15"/>
        <v>300.616279069767</v>
      </c>
      <c r="L110" s="6">
        <f t="shared" si="12"/>
        <v>300.616279069767</v>
      </c>
      <c r="M110" s="6">
        <f t="shared" si="13"/>
        <v>2023</v>
      </c>
      <c r="N110" s="6" t="str">
        <f t="shared" si="14"/>
        <v>Nov-2023</v>
      </c>
    </row>
    <row r="111" spans="1:14">
      <c r="A111">
        <v>110</v>
      </c>
      <c r="B111" s="2">
        <v>45383</v>
      </c>
      <c r="C111" t="s">
        <v>18</v>
      </c>
      <c r="D111" t="s">
        <v>19</v>
      </c>
      <c r="E111" t="s">
        <v>23</v>
      </c>
      <c r="F111">
        <v>155</v>
      </c>
      <c r="G111" s="4">
        <v>11092</v>
      </c>
      <c r="H111" t="s">
        <v>17</v>
      </c>
      <c r="I111">
        <v>52</v>
      </c>
      <c r="J111" t="str">
        <f>IF('Production Dataset'!I111&lt;35,"A1",IF('Production Dataset'!I111&lt;45,"A2","A3"))</f>
        <v>A3</v>
      </c>
      <c r="K111" s="5">
        <f t="shared" si="15"/>
        <v>71.5612903225806</v>
      </c>
      <c r="L111" s="6">
        <f t="shared" si="12"/>
        <v>71.5612903225806</v>
      </c>
      <c r="M111" s="6">
        <f t="shared" si="13"/>
        <v>2024</v>
      </c>
      <c r="N111" s="6" t="str">
        <f t="shared" si="14"/>
        <v>Apr-2024</v>
      </c>
    </row>
    <row r="112" spans="1:14">
      <c r="A112">
        <v>111</v>
      </c>
      <c r="B112" s="2">
        <v>45497</v>
      </c>
      <c r="C112" t="s">
        <v>21</v>
      </c>
      <c r="D112" t="s">
        <v>27</v>
      </c>
      <c r="E112" t="s">
        <v>30</v>
      </c>
      <c r="F112">
        <v>319</v>
      </c>
      <c r="G112" s="4">
        <v>4221</v>
      </c>
      <c r="H112" t="s">
        <v>24</v>
      </c>
      <c r="I112">
        <v>26</v>
      </c>
      <c r="J112" t="str">
        <f>IF('Production Dataset'!I112&lt;35,"A1",IF('Production Dataset'!I112&lt;45,"A2","A3"))</f>
        <v>A1</v>
      </c>
      <c r="K112" s="5">
        <f t="shared" si="15"/>
        <v>13.2319749216301</v>
      </c>
      <c r="L112" s="6">
        <f t="shared" si="12"/>
        <v>13.2319749216301</v>
      </c>
      <c r="M112" s="6">
        <f t="shared" si="13"/>
        <v>2024</v>
      </c>
      <c r="N112" s="6" t="str">
        <f t="shared" si="14"/>
        <v>Jul-2024</v>
      </c>
    </row>
    <row r="113" spans="1:14">
      <c r="A113">
        <v>112</v>
      </c>
      <c r="B113" s="2">
        <v>45527</v>
      </c>
      <c r="C113" t="s">
        <v>34</v>
      </c>
      <c r="D113" t="s">
        <v>32</v>
      </c>
      <c r="E113" t="s">
        <v>16</v>
      </c>
      <c r="F113">
        <v>62</v>
      </c>
      <c r="G113" s="4">
        <v>31500</v>
      </c>
      <c r="H113" t="s">
        <v>24</v>
      </c>
      <c r="I113">
        <v>25</v>
      </c>
      <c r="J113" t="str">
        <f>IF('Production Dataset'!I113&lt;35,"A1",IF('Production Dataset'!I113&lt;45,"A2","A3"))</f>
        <v>A1</v>
      </c>
      <c r="K113" s="5">
        <f t="shared" si="15"/>
        <v>508.064516129032</v>
      </c>
      <c r="L113" s="6">
        <f t="shared" si="12"/>
        <v>508.064516129032</v>
      </c>
      <c r="M113" s="6">
        <f t="shared" si="13"/>
        <v>2024</v>
      </c>
      <c r="N113" s="6" t="str">
        <f t="shared" si="14"/>
        <v>Aug-2024</v>
      </c>
    </row>
    <row r="114" spans="1:14">
      <c r="A114">
        <v>113</v>
      </c>
      <c r="B114" s="2">
        <v>45370</v>
      </c>
      <c r="C114" t="s">
        <v>34</v>
      </c>
      <c r="D114" t="s">
        <v>27</v>
      </c>
      <c r="E114" t="s">
        <v>16</v>
      </c>
      <c r="F114">
        <v>81</v>
      </c>
      <c r="G114" s="4">
        <v>31414</v>
      </c>
      <c r="H114" t="s">
        <v>17</v>
      </c>
      <c r="I114">
        <v>26</v>
      </c>
      <c r="J114" t="str">
        <f>IF('Production Dataset'!I114&lt;35,"A1",IF('Production Dataset'!I114&lt;45,"A2","A3"))</f>
        <v>A1</v>
      </c>
      <c r="K114" s="5">
        <f t="shared" si="15"/>
        <v>387.827160493827</v>
      </c>
      <c r="L114" s="6">
        <f t="shared" si="12"/>
        <v>387.827160493827</v>
      </c>
      <c r="M114" s="6">
        <f t="shared" si="13"/>
        <v>2024</v>
      </c>
      <c r="N114" s="6" t="str">
        <f t="shared" si="14"/>
        <v>Mar-2024</v>
      </c>
    </row>
    <row r="115" spans="1:14">
      <c r="A115">
        <v>114</v>
      </c>
      <c r="B115" s="2">
        <v>45233</v>
      </c>
      <c r="C115" t="s">
        <v>21</v>
      </c>
      <c r="D115" t="s">
        <v>25</v>
      </c>
      <c r="E115" t="s">
        <v>16</v>
      </c>
      <c r="F115">
        <v>126</v>
      </c>
      <c r="G115" s="4">
        <v>40446</v>
      </c>
      <c r="H115" t="s">
        <v>26</v>
      </c>
      <c r="I115">
        <v>57</v>
      </c>
      <c r="J115" t="str">
        <f>IF('Production Dataset'!I115&lt;35,"A1",IF('Production Dataset'!I115&lt;45,"A2","A3"))</f>
        <v>A3</v>
      </c>
      <c r="K115" s="5">
        <f t="shared" si="15"/>
        <v>321</v>
      </c>
      <c r="L115" s="6">
        <f t="shared" si="12"/>
        <v>321</v>
      </c>
      <c r="M115" s="6">
        <f t="shared" si="13"/>
        <v>2023</v>
      </c>
      <c r="N115" s="6" t="str">
        <f t="shared" si="14"/>
        <v>Nov-2023</v>
      </c>
    </row>
    <row r="116" spans="1:14">
      <c r="A116">
        <v>115</v>
      </c>
      <c r="B116" s="2">
        <v>45232</v>
      </c>
      <c r="C116" t="s">
        <v>18</v>
      </c>
      <c r="D116" t="s">
        <v>27</v>
      </c>
      <c r="E116" t="s">
        <v>16</v>
      </c>
      <c r="F116">
        <v>541</v>
      </c>
      <c r="G116" s="4">
        <v>42432</v>
      </c>
      <c r="H116" t="s">
        <v>17</v>
      </c>
      <c r="I116">
        <v>26</v>
      </c>
      <c r="J116" t="str">
        <f>IF('Production Dataset'!I116&lt;35,"A1",IF('Production Dataset'!I116&lt;45,"A2","A3"))</f>
        <v>A1</v>
      </c>
      <c r="K116" s="5">
        <f t="shared" si="15"/>
        <v>78.4325323475046</v>
      </c>
      <c r="L116" s="6">
        <f t="shared" si="12"/>
        <v>78.4325323475046</v>
      </c>
      <c r="M116" s="6">
        <f t="shared" si="13"/>
        <v>2023</v>
      </c>
      <c r="N116" s="6" t="str">
        <f t="shared" si="14"/>
        <v>Nov-2023</v>
      </c>
    </row>
    <row r="117" spans="1:14">
      <c r="A117">
        <v>116</v>
      </c>
      <c r="B117" s="2">
        <v>45240</v>
      </c>
      <c r="C117" t="s">
        <v>21</v>
      </c>
      <c r="D117" t="s">
        <v>28</v>
      </c>
      <c r="E117" t="s">
        <v>20</v>
      </c>
      <c r="F117">
        <v>666</v>
      </c>
      <c r="G117" s="4">
        <v>64635</v>
      </c>
      <c r="H117" t="s">
        <v>24</v>
      </c>
      <c r="I117">
        <v>28</v>
      </c>
      <c r="J117" t="str">
        <f>IF('Production Dataset'!I117&lt;35,"A1",IF('Production Dataset'!I117&lt;45,"A2","A3"))</f>
        <v>A1</v>
      </c>
      <c r="K117" s="5">
        <f t="shared" si="15"/>
        <v>97.0495495495496</v>
      </c>
      <c r="L117" s="6">
        <f t="shared" si="12"/>
        <v>97.0495495495496</v>
      </c>
      <c r="M117" s="6">
        <f t="shared" si="13"/>
        <v>2023</v>
      </c>
      <c r="N117" s="6" t="str">
        <f t="shared" si="14"/>
        <v>Nov-2023</v>
      </c>
    </row>
    <row r="118" spans="1:14">
      <c r="A118">
        <v>117</v>
      </c>
      <c r="B118" s="2">
        <v>45374</v>
      </c>
      <c r="C118" t="s">
        <v>21</v>
      </c>
      <c r="D118" t="s">
        <v>27</v>
      </c>
      <c r="E118" t="s">
        <v>30</v>
      </c>
      <c r="F118">
        <v>527</v>
      </c>
      <c r="G118" s="4">
        <v>51168</v>
      </c>
      <c r="H118" t="s">
        <v>24</v>
      </c>
      <c r="I118">
        <v>26</v>
      </c>
      <c r="J118" t="str">
        <f>IF('Production Dataset'!I118&lt;35,"A1",IF('Production Dataset'!I118&lt;45,"A2","A3"))</f>
        <v>A1</v>
      </c>
      <c r="K118" s="5">
        <f t="shared" si="15"/>
        <v>97.0929791271347</v>
      </c>
      <c r="L118" s="6">
        <f t="shared" si="12"/>
        <v>97.0929791271347</v>
      </c>
      <c r="M118" s="6">
        <f t="shared" si="13"/>
        <v>2024</v>
      </c>
      <c r="N118" s="6" t="str">
        <f t="shared" si="14"/>
        <v>Mar-2024</v>
      </c>
    </row>
    <row r="119" spans="1:14">
      <c r="A119">
        <v>118</v>
      </c>
      <c r="B119" s="2">
        <v>45273</v>
      </c>
      <c r="C119" t="s">
        <v>18</v>
      </c>
      <c r="D119" t="s">
        <v>31</v>
      </c>
      <c r="E119" t="s">
        <v>16</v>
      </c>
      <c r="F119">
        <v>289</v>
      </c>
      <c r="G119" s="4">
        <v>24948</v>
      </c>
      <c r="H119" t="s">
        <v>24</v>
      </c>
      <c r="I119">
        <v>42</v>
      </c>
      <c r="J119" t="str">
        <f>IF('Production Dataset'!I119&lt;35,"A1",IF('Production Dataset'!I119&lt;45,"A2","A3"))</f>
        <v>A2</v>
      </c>
      <c r="K119" s="5">
        <f t="shared" si="15"/>
        <v>86.3252595155709</v>
      </c>
      <c r="L119" s="6">
        <f t="shared" si="12"/>
        <v>86.3252595155709</v>
      </c>
      <c r="M119" s="6">
        <f t="shared" si="13"/>
        <v>2023</v>
      </c>
      <c r="N119" s="6" t="str">
        <f t="shared" si="14"/>
        <v>Dec-2023</v>
      </c>
    </row>
    <row r="120" spans="1:14">
      <c r="A120">
        <v>119</v>
      </c>
      <c r="B120" s="2">
        <v>45305</v>
      </c>
      <c r="C120" t="s">
        <v>18</v>
      </c>
      <c r="D120" t="s">
        <v>25</v>
      </c>
      <c r="E120" t="s">
        <v>30</v>
      </c>
      <c r="F120">
        <v>199</v>
      </c>
      <c r="G120" s="4">
        <v>56118</v>
      </c>
      <c r="H120" t="s">
        <v>26</v>
      </c>
      <c r="I120">
        <v>57</v>
      </c>
      <c r="J120" t="str">
        <f>IF('Production Dataset'!I120&lt;35,"A1",IF('Production Dataset'!I120&lt;45,"A2","A3"))</f>
        <v>A3</v>
      </c>
      <c r="K120" s="5">
        <f t="shared" si="15"/>
        <v>282</v>
      </c>
      <c r="L120" s="6">
        <f t="shared" si="12"/>
        <v>282</v>
      </c>
      <c r="M120" s="6">
        <f t="shared" si="13"/>
        <v>2024</v>
      </c>
      <c r="N120" s="6" t="str">
        <f t="shared" si="14"/>
        <v>Jan-2024</v>
      </c>
    </row>
    <row r="121" spans="1:14">
      <c r="A121">
        <v>120</v>
      </c>
      <c r="B121" s="2">
        <v>45361</v>
      </c>
      <c r="C121" t="s">
        <v>34</v>
      </c>
      <c r="D121" t="s">
        <v>22</v>
      </c>
      <c r="E121" t="s">
        <v>16</v>
      </c>
      <c r="F121">
        <v>497</v>
      </c>
      <c r="G121" s="4">
        <v>46548</v>
      </c>
      <c r="H121" t="s">
        <v>17</v>
      </c>
      <c r="I121">
        <v>36</v>
      </c>
      <c r="J121" t="str">
        <f>IF('Production Dataset'!I121&lt;35,"A1",IF('Production Dataset'!I121&lt;45,"A2","A3"))</f>
        <v>A2</v>
      </c>
      <c r="K121" s="5">
        <f t="shared" si="15"/>
        <v>93.6579476861167</v>
      </c>
      <c r="L121" s="6">
        <f t="shared" si="12"/>
        <v>93.6579476861167</v>
      </c>
      <c r="M121" s="6">
        <f t="shared" si="13"/>
        <v>2024</v>
      </c>
      <c r="N121" s="6" t="str">
        <f t="shared" si="14"/>
        <v>Mar-2024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C17" sqref="C17"/>
    </sheetView>
  </sheetViews>
  <sheetFormatPr defaultColWidth="9.14285714285714" defaultRowHeight="15" outlineLevelCol="1"/>
  <cols>
    <col min="1" max="1" width="13.4285714285714"/>
    <col min="2" max="2" width="24.7142857142857"/>
  </cols>
  <sheetData>
    <row r="3" spans="1:2">
      <c r="A3" t="s">
        <v>3</v>
      </c>
      <c r="B3" t="s">
        <v>35</v>
      </c>
    </row>
    <row r="4" spans="1:2">
      <c r="A4" t="s">
        <v>29</v>
      </c>
      <c r="B4" s="3">
        <v>118.994644258139</v>
      </c>
    </row>
    <row r="5" spans="1:2">
      <c r="A5" t="s">
        <v>32</v>
      </c>
      <c r="B5" s="3">
        <v>142.455879546322</v>
      </c>
    </row>
    <row r="6" spans="1:2">
      <c r="A6" t="s">
        <v>31</v>
      </c>
      <c r="B6" s="3">
        <v>156.393004702647</v>
      </c>
    </row>
    <row r="7" spans="1:2">
      <c r="A7" t="s">
        <v>28</v>
      </c>
      <c r="B7" s="3">
        <v>181.233721539495</v>
      </c>
    </row>
    <row r="8" spans="1:2">
      <c r="A8" t="s">
        <v>33</v>
      </c>
      <c r="B8" s="3">
        <v>215.164193999378</v>
      </c>
    </row>
    <row r="9" spans="1:2">
      <c r="A9" t="s">
        <v>36</v>
      </c>
      <c r="B9" s="3">
        <v>160.90102609563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19" sqref="B19"/>
    </sheetView>
  </sheetViews>
  <sheetFormatPr defaultColWidth="9.14285714285714" defaultRowHeight="15" outlineLevelRow="7" outlineLevelCol="1"/>
  <cols>
    <col min="1" max="1" width="15"/>
    <col min="2" max="2" width="24.7142857142857"/>
  </cols>
  <sheetData>
    <row r="3" spans="1:2">
      <c r="A3" t="s">
        <v>4</v>
      </c>
      <c r="B3" t="s">
        <v>35</v>
      </c>
    </row>
    <row r="4" spans="1:2">
      <c r="A4" t="s">
        <v>30</v>
      </c>
      <c r="B4" s="3">
        <v>108.368246516667</v>
      </c>
    </row>
    <row r="5" spans="1:2">
      <c r="A5" t="s">
        <v>23</v>
      </c>
      <c r="B5" s="3">
        <v>108.976598946377</v>
      </c>
    </row>
    <row r="6" spans="1:2">
      <c r="A6" t="s">
        <v>16</v>
      </c>
      <c r="B6" s="3">
        <v>140.873876954133</v>
      </c>
    </row>
    <row r="7" spans="1:2">
      <c r="A7" t="s">
        <v>20</v>
      </c>
      <c r="B7" s="3">
        <v>180.441033487786</v>
      </c>
    </row>
    <row r="8" spans="1:2">
      <c r="A8" t="s">
        <v>36</v>
      </c>
      <c r="B8" s="3">
        <v>132.39235089555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B11" sqref="B11"/>
    </sheetView>
  </sheetViews>
  <sheetFormatPr defaultColWidth="9.14285714285714" defaultRowHeight="15" outlineLevelCol="1"/>
  <cols>
    <col min="1" max="1" width="13.4285714285714"/>
    <col min="2" max="2" width="16.4285714285714"/>
  </cols>
  <sheetData>
    <row r="3" spans="1:2">
      <c r="A3" t="s">
        <v>3</v>
      </c>
      <c r="B3" t="s">
        <v>37</v>
      </c>
    </row>
    <row r="4" spans="1:2">
      <c r="A4" t="s">
        <v>28</v>
      </c>
      <c r="B4">
        <v>10</v>
      </c>
    </row>
    <row r="5" spans="1:2">
      <c r="A5" t="s">
        <v>25</v>
      </c>
      <c r="B5">
        <v>11</v>
      </c>
    </row>
    <row r="6" spans="1:2">
      <c r="A6" t="s">
        <v>15</v>
      </c>
      <c r="B6">
        <v>13</v>
      </c>
    </row>
    <row r="7" spans="1:2">
      <c r="A7" t="s">
        <v>27</v>
      </c>
      <c r="B7">
        <v>18</v>
      </c>
    </row>
    <row r="8" spans="1:2">
      <c r="A8" t="s">
        <v>31</v>
      </c>
      <c r="B8">
        <v>37</v>
      </c>
    </row>
    <row r="9" spans="1:2">
      <c r="A9" t="s">
        <v>36</v>
      </c>
      <c r="B9">
        <v>89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3"/>
  <sheetViews>
    <sheetView workbookViewId="0">
      <selection activeCell="L1" sqref="L1"/>
    </sheetView>
  </sheetViews>
  <sheetFormatPr defaultColWidth="9.14285714285714" defaultRowHeight="15" outlineLevelCol="1"/>
  <cols>
    <col min="1" max="1" width="18.1428571428571"/>
    <col min="2" max="2" width="22.7142857142857"/>
  </cols>
  <sheetData>
    <row r="3" spans="1:2">
      <c r="A3" t="s">
        <v>1</v>
      </c>
      <c r="B3" t="s">
        <v>38</v>
      </c>
    </row>
    <row r="4" spans="1:2">
      <c r="A4" s="2">
        <v>45191</v>
      </c>
      <c r="B4">
        <v>214</v>
      </c>
    </row>
    <row r="5" spans="1:2">
      <c r="A5" s="2">
        <v>45193</v>
      </c>
      <c r="B5">
        <v>344</v>
      </c>
    </row>
    <row r="6" spans="1:2">
      <c r="A6" s="2">
        <v>45197</v>
      </c>
      <c r="B6">
        <v>213</v>
      </c>
    </row>
    <row r="7" spans="1:2">
      <c r="A7" s="2">
        <v>45200</v>
      </c>
      <c r="B7">
        <v>290</v>
      </c>
    </row>
    <row r="8" spans="1:2">
      <c r="A8" s="2">
        <v>45207</v>
      </c>
      <c r="B8">
        <v>231</v>
      </c>
    </row>
    <row r="9" spans="1:2">
      <c r="A9" s="2">
        <v>45214</v>
      </c>
      <c r="B9">
        <v>719</v>
      </c>
    </row>
    <row r="10" spans="1:2">
      <c r="A10" s="2">
        <v>45215</v>
      </c>
      <c r="B10">
        <v>624</v>
      </c>
    </row>
    <row r="11" spans="1:2">
      <c r="A11" s="2">
        <v>45216</v>
      </c>
      <c r="B11">
        <v>63</v>
      </c>
    </row>
    <row r="12" spans="1:2">
      <c r="A12" s="2">
        <v>45217</v>
      </c>
      <c r="B12">
        <v>263</v>
      </c>
    </row>
    <row r="13" spans="1:2">
      <c r="A13" s="2">
        <v>45221</v>
      </c>
      <c r="B13">
        <v>165</v>
      </c>
    </row>
    <row r="14" spans="1:2">
      <c r="A14" s="2">
        <v>45228</v>
      </c>
      <c r="B14">
        <v>288</v>
      </c>
    </row>
    <row r="15" spans="1:2">
      <c r="A15" s="2">
        <v>45230</v>
      </c>
      <c r="B15">
        <v>460</v>
      </c>
    </row>
    <row r="16" spans="1:2">
      <c r="A16" s="2">
        <v>45232</v>
      </c>
      <c r="B16">
        <v>876</v>
      </c>
    </row>
    <row r="17" spans="1:2">
      <c r="A17" s="2">
        <v>45233</v>
      </c>
      <c r="B17">
        <v>126</v>
      </c>
    </row>
    <row r="18" spans="1:2">
      <c r="A18" s="2">
        <v>45234</v>
      </c>
      <c r="B18">
        <v>177</v>
      </c>
    </row>
    <row r="19" spans="1:2">
      <c r="A19" s="2">
        <v>45235</v>
      </c>
      <c r="B19">
        <v>439</v>
      </c>
    </row>
    <row r="20" spans="1:2">
      <c r="A20" s="2">
        <v>45240</v>
      </c>
      <c r="B20">
        <v>666</v>
      </c>
    </row>
    <row r="21" spans="1:2">
      <c r="A21" s="2">
        <v>45243</v>
      </c>
      <c r="B21">
        <v>359</v>
      </c>
    </row>
    <row r="22" spans="1:2">
      <c r="A22" s="2">
        <v>45249</v>
      </c>
      <c r="B22">
        <v>511</v>
      </c>
    </row>
    <row r="23" spans="1:2">
      <c r="A23" s="2">
        <v>45251</v>
      </c>
      <c r="B23">
        <v>333</v>
      </c>
    </row>
    <row r="24" spans="1:2">
      <c r="A24" s="2">
        <v>45252</v>
      </c>
      <c r="B24">
        <v>354</v>
      </c>
    </row>
    <row r="25" spans="1:2">
      <c r="A25" s="2">
        <v>45254</v>
      </c>
      <c r="B25">
        <v>876</v>
      </c>
    </row>
    <row r="26" spans="1:2">
      <c r="A26" s="2">
        <v>45256</v>
      </c>
      <c r="B26">
        <v>86</v>
      </c>
    </row>
    <row r="27" spans="1:2">
      <c r="A27" s="2">
        <v>45264</v>
      </c>
      <c r="B27">
        <v>214</v>
      </c>
    </row>
    <row r="28" spans="1:2">
      <c r="A28" s="2">
        <v>45273</v>
      </c>
      <c r="B28">
        <v>289</v>
      </c>
    </row>
    <row r="29" spans="1:2">
      <c r="A29" s="2">
        <v>45274</v>
      </c>
      <c r="B29">
        <v>97</v>
      </c>
    </row>
    <row r="30" spans="1:2">
      <c r="A30" s="2">
        <v>45277</v>
      </c>
      <c r="B30">
        <v>366</v>
      </c>
    </row>
    <row r="31" spans="1:2">
      <c r="A31" s="2">
        <v>45282</v>
      </c>
      <c r="B31">
        <v>222</v>
      </c>
    </row>
    <row r="32" spans="1:2">
      <c r="A32" s="2">
        <v>45286</v>
      </c>
      <c r="B32">
        <v>902</v>
      </c>
    </row>
    <row r="33" spans="1:2">
      <c r="A33" s="2">
        <v>45289</v>
      </c>
      <c r="B33">
        <v>404</v>
      </c>
    </row>
    <row r="34" spans="1:2">
      <c r="A34" s="2">
        <v>45292</v>
      </c>
      <c r="B34">
        <v>160</v>
      </c>
    </row>
    <row r="35" spans="1:2">
      <c r="A35" s="2">
        <v>45293</v>
      </c>
      <c r="B35">
        <v>368</v>
      </c>
    </row>
    <row r="36" spans="1:2">
      <c r="A36" s="2">
        <v>45294</v>
      </c>
      <c r="B36">
        <v>180</v>
      </c>
    </row>
    <row r="37" spans="1:2">
      <c r="A37" s="2">
        <v>45296</v>
      </c>
      <c r="B37">
        <v>713</v>
      </c>
    </row>
    <row r="38" spans="1:2">
      <c r="A38" s="2">
        <v>45299</v>
      </c>
      <c r="B38">
        <v>447</v>
      </c>
    </row>
    <row r="39" spans="1:2">
      <c r="A39" s="2">
        <v>45304</v>
      </c>
      <c r="B39">
        <v>250</v>
      </c>
    </row>
    <row r="40" spans="1:2">
      <c r="A40" s="2">
        <v>45305</v>
      </c>
      <c r="B40">
        <v>463</v>
      </c>
    </row>
    <row r="41" spans="1:2">
      <c r="A41" s="2">
        <v>45307</v>
      </c>
      <c r="B41">
        <v>60</v>
      </c>
    </row>
    <row r="42" spans="1:2">
      <c r="A42" s="2">
        <v>45309</v>
      </c>
      <c r="B42">
        <v>192</v>
      </c>
    </row>
    <row r="43" spans="1:2">
      <c r="A43" s="2">
        <v>45318</v>
      </c>
      <c r="B43">
        <v>193</v>
      </c>
    </row>
    <row r="44" spans="1:2">
      <c r="A44" s="2">
        <v>45329</v>
      </c>
      <c r="B44">
        <v>214</v>
      </c>
    </row>
    <row r="45" spans="1:2">
      <c r="A45" s="2">
        <v>45330</v>
      </c>
      <c r="B45">
        <v>209</v>
      </c>
    </row>
    <row r="46" spans="1:2">
      <c r="A46" s="2">
        <v>45335</v>
      </c>
      <c r="B46">
        <v>526</v>
      </c>
    </row>
    <row r="47" spans="1:2">
      <c r="A47" s="2">
        <v>45339</v>
      </c>
      <c r="B47">
        <v>499</v>
      </c>
    </row>
    <row r="48" spans="1:2">
      <c r="A48" s="2">
        <v>45347</v>
      </c>
      <c r="B48">
        <v>128</v>
      </c>
    </row>
    <row r="49" spans="1:2">
      <c r="A49" s="2">
        <v>45348</v>
      </c>
      <c r="B49">
        <v>97</v>
      </c>
    </row>
    <row r="50" spans="1:2">
      <c r="A50" s="2">
        <v>45350</v>
      </c>
      <c r="B50">
        <v>2454</v>
      </c>
    </row>
    <row r="51" spans="1:2">
      <c r="A51" s="2">
        <v>45356</v>
      </c>
      <c r="B51">
        <v>218</v>
      </c>
    </row>
    <row r="52" spans="1:2">
      <c r="A52" s="2">
        <v>45357</v>
      </c>
      <c r="B52">
        <v>128</v>
      </c>
    </row>
    <row r="53" spans="1:2">
      <c r="A53" s="2">
        <v>45361</v>
      </c>
      <c r="B53">
        <v>497</v>
      </c>
    </row>
    <row r="54" spans="1:2">
      <c r="A54" s="2">
        <v>45364</v>
      </c>
      <c r="B54">
        <v>358</v>
      </c>
    </row>
    <row r="55" spans="1:2">
      <c r="A55" s="2">
        <v>45369</v>
      </c>
      <c r="B55">
        <v>84</v>
      </c>
    </row>
    <row r="56" spans="1:2">
      <c r="A56" s="2">
        <v>45370</v>
      </c>
      <c r="B56">
        <v>81</v>
      </c>
    </row>
    <row r="57" spans="1:2">
      <c r="A57" s="2">
        <v>45371</v>
      </c>
      <c r="B57">
        <v>389</v>
      </c>
    </row>
    <row r="58" spans="1:2">
      <c r="A58" s="2">
        <v>45372</v>
      </c>
      <c r="B58">
        <v>178</v>
      </c>
    </row>
    <row r="59" spans="1:2">
      <c r="A59" s="2">
        <v>45374</v>
      </c>
      <c r="B59">
        <v>527</v>
      </c>
    </row>
    <row r="60" spans="1:2">
      <c r="A60" s="2">
        <v>45377</v>
      </c>
      <c r="B60">
        <v>145</v>
      </c>
    </row>
    <row r="61" spans="1:2">
      <c r="A61" s="2">
        <v>45378</v>
      </c>
      <c r="B61">
        <v>495</v>
      </c>
    </row>
    <row r="62" spans="1:2">
      <c r="A62" s="2">
        <v>45380</v>
      </c>
      <c r="B62">
        <v>412</v>
      </c>
    </row>
    <row r="63" spans="1:2">
      <c r="A63" s="2">
        <v>45381</v>
      </c>
      <c r="B63">
        <v>363</v>
      </c>
    </row>
    <row r="64" spans="1:2">
      <c r="A64" s="2">
        <v>45383</v>
      </c>
      <c r="B64">
        <v>155</v>
      </c>
    </row>
    <row r="65" spans="1:2">
      <c r="A65" s="2">
        <v>45390</v>
      </c>
      <c r="B65">
        <v>190</v>
      </c>
    </row>
    <row r="66" spans="1:2">
      <c r="A66" s="2">
        <v>45392</v>
      </c>
      <c r="B66">
        <v>51</v>
      </c>
    </row>
    <row r="67" spans="1:2">
      <c r="A67" s="2">
        <v>45398</v>
      </c>
      <c r="B67">
        <v>383</v>
      </c>
    </row>
    <row r="68" spans="1:2">
      <c r="A68" s="2">
        <v>45407</v>
      </c>
      <c r="B68">
        <v>51</v>
      </c>
    </row>
    <row r="69" spans="1:2">
      <c r="A69" s="2">
        <v>45410</v>
      </c>
      <c r="B69">
        <v>462</v>
      </c>
    </row>
    <row r="70" spans="1:2">
      <c r="A70" s="2">
        <v>45412</v>
      </c>
      <c r="B70">
        <v>236</v>
      </c>
    </row>
    <row r="71" spans="1:2">
      <c r="A71" s="2">
        <v>45420</v>
      </c>
      <c r="B71">
        <v>430</v>
      </c>
    </row>
    <row r="72" spans="1:2">
      <c r="A72" s="2">
        <v>45422</v>
      </c>
      <c r="B72">
        <v>511</v>
      </c>
    </row>
    <row r="73" spans="1:2">
      <c r="A73" s="2">
        <v>45424</v>
      </c>
      <c r="B73">
        <v>382</v>
      </c>
    </row>
    <row r="74" spans="1:2">
      <c r="A74" s="2">
        <v>45427</v>
      </c>
      <c r="B74">
        <v>173</v>
      </c>
    </row>
    <row r="75" spans="1:2">
      <c r="A75" s="2">
        <v>45432</v>
      </c>
      <c r="B75">
        <v>188</v>
      </c>
    </row>
    <row r="76" spans="1:2">
      <c r="A76" s="2">
        <v>45444</v>
      </c>
      <c r="B76">
        <v>386</v>
      </c>
    </row>
    <row r="77" spans="1:2">
      <c r="A77" s="2">
        <v>45449</v>
      </c>
      <c r="B77">
        <v>178</v>
      </c>
    </row>
    <row r="78" spans="1:2">
      <c r="A78" s="2">
        <v>45451</v>
      </c>
      <c r="B78">
        <v>368</v>
      </c>
    </row>
    <row r="79" spans="1:2">
      <c r="A79" s="2">
        <v>45453</v>
      </c>
      <c r="B79">
        <v>322</v>
      </c>
    </row>
    <row r="80" spans="1:2">
      <c r="A80" s="2">
        <v>45457</v>
      </c>
      <c r="B80">
        <v>130</v>
      </c>
    </row>
    <row r="81" spans="1:2">
      <c r="A81" s="2">
        <v>45458</v>
      </c>
      <c r="B81">
        <v>79</v>
      </c>
    </row>
    <row r="82" spans="1:2">
      <c r="A82" s="2">
        <v>45464</v>
      </c>
      <c r="B82">
        <v>216</v>
      </c>
    </row>
    <row r="83" spans="1:2">
      <c r="A83" s="2">
        <v>45465</v>
      </c>
      <c r="B83">
        <v>332</v>
      </c>
    </row>
    <row r="84" spans="1:2">
      <c r="A84" s="2">
        <v>45467</v>
      </c>
      <c r="B84">
        <v>115</v>
      </c>
    </row>
    <row r="85" spans="1:2">
      <c r="A85" s="2">
        <v>45469</v>
      </c>
      <c r="B85">
        <v>908</v>
      </c>
    </row>
    <row r="86" spans="1:2">
      <c r="A86" s="2">
        <v>45472</v>
      </c>
      <c r="B86">
        <v>503</v>
      </c>
    </row>
    <row r="87" spans="1:2">
      <c r="A87" s="2">
        <v>45478</v>
      </c>
      <c r="B87">
        <v>115</v>
      </c>
    </row>
    <row r="88" spans="1:2">
      <c r="A88" s="2">
        <v>45489</v>
      </c>
      <c r="B88">
        <v>248</v>
      </c>
    </row>
    <row r="89" spans="1:2">
      <c r="A89" s="2">
        <v>45497</v>
      </c>
      <c r="B89">
        <v>695</v>
      </c>
    </row>
    <row r="90" spans="1:2">
      <c r="A90" s="2">
        <v>45504</v>
      </c>
      <c r="B90">
        <v>478</v>
      </c>
    </row>
    <row r="91" spans="1:2">
      <c r="A91" s="2">
        <v>45506</v>
      </c>
      <c r="B91">
        <v>265</v>
      </c>
    </row>
    <row r="92" spans="1:2">
      <c r="A92" s="2">
        <v>45508</v>
      </c>
      <c r="B92">
        <v>396</v>
      </c>
    </row>
    <row r="93" spans="1:2">
      <c r="A93" s="2">
        <v>45510</v>
      </c>
      <c r="B93">
        <v>734</v>
      </c>
    </row>
    <row r="94" spans="1:2">
      <c r="A94" s="2">
        <v>45511</v>
      </c>
      <c r="B94">
        <v>422</v>
      </c>
    </row>
    <row r="95" spans="1:2">
      <c r="A95" s="2">
        <v>45520</v>
      </c>
      <c r="B95">
        <v>90</v>
      </c>
    </row>
    <row r="96" spans="1:2">
      <c r="A96" s="2">
        <v>45521</v>
      </c>
      <c r="B96">
        <v>306</v>
      </c>
    </row>
    <row r="97" spans="1:2">
      <c r="A97" s="2">
        <v>45527</v>
      </c>
      <c r="B97">
        <v>62</v>
      </c>
    </row>
    <row r="98" spans="1:2">
      <c r="A98" s="2">
        <v>45530</v>
      </c>
      <c r="B98">
        <v>406</v>
      </c>
    </row>
    <row r="99" spans="1:2">
      <c r="A99" s="2">
        <v>45532</v>
      </c>
      <c r="B99">
        <v>183</v>
      </c>
    </row>
    <row r="100" spans="1:2">
      <c r="A100" s="2">
        <v>45543</v>
      </c>
      <c r="B100">
        <v>369</v>
      </c>
    </row>
    <row r="101" spans="1:2">
      <c r="A101" s="2">
        <v>45544</v>
      </c>
      <c r="B101">
        <v>519</v>
      </c>
    </row>
    <row r="102" spans="1:2">
      <c r="A102" s="2">
        <v>45549</v>
      </c>
      <c r="B102">
        <v>491</v>
      </c>
    </row>
    <row r="103" spans="1:2">
      <c r="A103" t="s">
        <v>36</v>
      </c>
      <c r="B103">
        <v>34727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8"/>
  <sheetViews>
    <sheetView showGridLines="0" showRowColHeaders="0" tabSelected="1" zoomScale="55" zoomScaleNormal="55" topLeftCell="B1" workbookViewId="0">
      <selection activeCell="AL47" sqref="AL47"/>
    </sheetView>
  </sheetViews>
  <sheetFormatPr defaultColWidth="9.14285714285714" defaultRowHeight="15"/>
  <sheetData>
    <row r="1" spans="1:3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</row>
    <row r="9" spans="1:3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</row>
    <row r="10" spans="1:3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</row>
    <row r="11" spans="1:3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</row>
    <row r="12" spans="1:3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</sheetData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Production Dataset</vt:lpstr>
      <vt:lpstr>Sheet1</vt:lpstr>
      <vt:lpstr>Sheet2</vt:lpstr>
      <vt:lpstr>Sheet3</vt:lpstr>
      <vt:lpstr>Sheet4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ELCOT</cp:lastModifiedBy>
  <dcterms:created xsi:type="dcterms:W3CDTF">2015-06-05T18:17:00Z</dcterms:created>
  <dcterms:modified xsi:type="dcterms:W3CDTF">2026-01-13T13:35:10Z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145230CB46444158B497FCD5B19E51B0_13</vt:lpwstr>
  </property>
  <property fmtid="{D5CDD505-2E9C-101B-9397-08002B2CF9AE}" pid="3" name="KSOProductBuildVer">
    <vt:lpwstr>1033-12.2.0.23196</vt:lpwstr>
  </property>
</Properties>
</file>